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old Backup\Siraj Main\SD AGEING-2025-26-Exported ASM Wise\26-27\4. SD Ageing as of 31.07.2026\"/>
    </mc:Choice>
  </mc:AlternateContent>
  <bookViews>
    <workbookView xWindow="0" yWindow="0" windowWidth="23970" windowHeight="9480" tabRatio="919" firstSheet="4" activeTab="5"/>
  </bookViews>
  <sheets>
    <sheet name="KA" sheetId="1" state="hidden" r:id="rId1"/>
    <sheet name="TN" sheetId="2" state="hidden" r:id="rId2"/>
    <sheet name="TS" sheetId="3" state="hidden" r:id="rId3"/>
    <sheet name="VJD" sheetId="4" state="hidden" r:id="rId4"/>
    <sheet name="Summary" sheetId="8" r:id="rId5"/>
    <sheet name="Bal Conf" sheetId="30" r:id="rId6"/>
    <sheet name="Consolidated" sheetId="5" state="hidden" r:id="rId7"/>
    <sheet name="SD with Cr bal" sheetId="29" state="hidden" r:id="rId8"/>
    <sheet name="Dileep &amp; Team" sheetId="10" r:id="rId9"/>
    <sheet name="Ashok &amp; Team" sheetId="13" r:id="rId10"/>
    <sheet name="G Chandrashekar " sheetId="18" r:id="rId11"/>
    <sheet name="Gouse" sheetId="22" r:id="rId12"/>
    <sheet name="Lavanyakumar" sheetId="23" r:id="rId13"/>
    <sheet name="Ranjith G S" sheetId="27" r:id="rId14"/>
    <sheet name="Mahendra Rao" sheetId="24" r:id="rId15"/>
    <sheet name="M Prabhakar Rao" sheetId="25" r:id="rId16"/>
    <sheet name="Raghavendra P" sheetId="26" r:id="rId17"/>
    <sheet name="Ravibabu" sheetId="28" r:id="rId18"/>
    <sheet name="Direct" sheetId="19" r:id="rId19"/>
  </sheets>
  <definedNames>
    <definedName name="_xlnm._FilterDatabase" localSheetId="6" hidden="1">Consolidated!$A$1:$L$283</definedName>
    <definedName name="_xlnm._FilterDatabase" localSheetId="7" hidden="1">'SD with Cr bal'!$D$3:$K$100</definedName>
  </definedNames>
  <calcPr calcId="162913"/>
  <pivotCaches>
    <pivotCache cacheId="0" r:id="rId20"/>
    <pivotCache cacheId="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5" i="30" l="1"/>
  <c r="B26" i="30" l="1"/>
  <c r="B18" i="30"/>
  <c r="B5" i="30"/>
  <c r="B28" i="30" l="1"/>
  <c r="N41" i="13"/>
  <c r="N29" i="10"/>
  <c r="C3" i="13" l="1"/>
  <c r="F3" i="13"/>
  <c r="C223" i="5"/>
  <c r="F223" i="5"/>
  <c r="J238" i="5"/>
  <c r="C238" i="5"/>
  <c r="C217" i="5"/>
  <c r="D217" i="5"/>
  <c r="K89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L71" i="29" s="1"/>
  <c r="D22" i="29"/>
  <c r="E21" i="29"/>
  <c r="D21" i="29"/>
  <c r="E20" i="29"/>
  <c r="D20" i="29"/>
  <c r="E19" i="29"/>
  <c r="E18" i="29"/>
  <c r="E17" i="29"/>
  <c r="D19" i="29"/>
  <c r="D18" i="29"/>
  <c r="D17" i="29"/>
  <c r="D14" i="29"/>
  <c r="E14" i="29"/>
  <c r="D15" i="29"/>
  <c r="E15" i="29"/>
  <c r="D16" i="29"/>
  <c r="E16" i="29"/>
  <c r="E13" i="29"/>
  <c r="D13" i="29"/>
  <c r="D5" i="29"/>
  <c r="E5" i="29"/>
  <c r="D6" i="29"/>
  <c r="E6" i="29"/>
  <c r="D7" i="29"/>
  <c r="E7" i="29"/>
  <c r="D8" i="29"/>
  <c r="E8" i="29"/>
  <c r="D9" i="29"/>
  <c r="E9" i="29"/>
  <c r="D10" i="29"/>
  <c r="E10" i="29"/>
  <c r="D11" i="29"/>
  <c r="E11" i="29"/>
  <c r="D12" i="29"/>
  <c r="E12" i="29"/>
  <c r="E4" i="29"/>
  <c r="D4" i="29"/>
  <c r="B95" i="29"/>
  <c r="B91" i="29"/>
  <c r="B82" i="29"/>
  <c r="B71" i="29"/>
  <c r="B64" i="29"/>
  <c r="B46" i="29"/>
  <c r="B39" i="29"/>
  <c r="B24" i="29"/>
  <c r="B19" i="29"/>
  <c r="B13" i="29"/>
  <c r="Q81" i="5" l="1"/>
  <c r="Q34" i="5"/>
  <c r="Q176" i="5"/>
  <c r="Q82" i="5"/>
  <c r="E100" i="29"/>
  <c r="J95" i="29" s="1"/>
  <c r="Q209" i="5"/>
  <c r="Q116" i="5"/>
  <c r="Q84" i="5"/>
  <c r="Q49" i="5"/>
  <c r="B125" i="29"/>
  <c r="D159" i="19"/>
  <c r="E159" i="19"/>
  <c r="F159" i="19"/>
  <c r="G159" i="19"/>
  <c r="H159" i="19"/>
  <c r="I159" i="19"/>
  <c r="J159" i="19"/>
  <c r="K159" i="19"/>
  <c r="L159" i="19"/>
  <c r="C159" i="19"/>
  <c r="D12" i="28"/>
  <c r="E12" i="28"/>
  <c r="F12" i="28"/>
  <c r="G12" i="28"/>
  <c r="H12" i="28"/>
  <c r="I12" i="28"/>
  <c r="J12" i="28"/>
  <c r="K12" i="28"/>
  <c r="L12" i="28"/>
  <c r="C12" i="28"/>
  <c r="B1" i="28"/>
  <c r="D6" i="27"/>
  <c r="E6" i="27"/>
  <c r="F6" i="27"/>
  <c r="G6" i="27"/>
  <c r="H6" i="27"/>
  <c r="I6" i="27"/>
  <c r="J6" i="27"/>
  <c r="K6" i="27"/>
  <c r="L6" i="27"/>
  <c r="C6" i="27"/>
  <c r="B1" i="27"/>
  <c r="B1" i="26" a="1"/>
  <c r="B1" i="26" s="1"/>
  <c r="D51" i="25"/>
  <c r="E51" i="25"/>
  <c r="F51" i="25"/>
  <c r="G51" i="25"/>
  <c r="H51" i="25"/>
  <c r="I51" i="25"/>
  <c r="J51" i="25"/>
  <c r="K51" i="25"/>
  <c r="L51" i="25"/>
  <c r="C51" i="25"/>
  <c r="B1" i="25"/>
  <c r="D8" i="24"/>
  <c r="E8" i="24"/>
  <c r="F8" i="24"/>
  <c r="G8" i="24"/>
  <c r="H8" i="24"/>
  <c r="I8" i="24"/>
  <c r="J8" i="24"/>
  <c r="K8" i="24"/>
  <c r="L8" i="24"/>
  <c r="C8" i="24"/>
  <c r="B1" i="24"/>
  <c r="D5" i="23"/>
  <c r="E5" i="23"/>
  <c r="F5" i="23"/>
  <c r="G5" i="23"/>
  <c r="H5" i="23"/>
  <c r="I5" i="23"/>
  <c r="J5" i="23"/>
  <c r="K5" i="23"/>
  <c r="L5" i="23"/>
  <c r="C5" i="23"/>
  <c r="B1" i="23"/>
  <c r="D20" i="22"/>
  <c r="E20" i="22"/>
  <c r="F20" i="22"/>
  <c r="G20" i="22"/>
  <c r="H20" i="22"/>
  <c r="I20" i="22"/>
  <c r="J20" i="22"/>
  <c r="K20" i="22"/>
  <c r="L20" i="22"/>
  <c r="C20" i="22"/>
  <c r="B1" i="22"/>
  <c r="D157" i="19"/>
  <c r="E157" i="19"/>
  <c r="F157" i="19"/>
  <c r="G157" i="19"/>
  <c r="H157" i="19"/>
  <c r="I157" i="19"/>
  <c r="J157" i="19"/>
  <c r="K157" i="19"/>
  <c r="L157" i="19"/>
  <c r="C157" i="19"/>
  <c r="D153" i="19"/>
  <c r="E153" i="19"/>
  <c r="F153" i="19"/>
  <c r="G153" i="19"/>
  <c r="H153" i="19"/>
  <c r="I153" i="19"/>
  <c r="J153" i="19"/>
  <c r="K153" i="19"/>
  <c r="L153" i="19"/>
  <c r="C153" i="19"/>
  <c r="B44" i="19"/>
  <c r="D42" i="19"/>
  <c r="E42" i="19"/>
  <c r="F42" i="19"/>
  <c r="G42" i="19"/>
  <c r="H42" i="19"/>
  <c r="I42" i="19"/>
  <c r="J42" i="19"/>
  <c r="K42" i="19"/>
  <c r="L42" i="19"/>
  <c r="C42" i="19"/>
  <c r="B1" i="19"/>
  <c r="D11" i="18"/>
  <c r="E11" i="18"/>
  <c r="F11" i="18"/>
  <c r="G11" i="18"/>
  <c r="H11" i="18"/>
  <c r="I11" i="18"/>
  <c r="J11" i="18"/>
  <c r="K11" i="18"/>
  <c r="L11" i="18"/>
  <c r="C11" i="18"/>
  <c r="B1" i="18"/>
  <c r="I41" i="13"/>
  <c r="D39" i="13"/>
  <c r="D41" i="13" s="1"/>
  <c r="E39" i="13"/>
  <c r="E41" i="13" s="1"/>
  <c r="F39" i="13"/>
  <c r="G39" i="13"/>
  <c r="G41" i="13" s="1"/>
  <c r="H39" i="13"/>
  <c r="H41" i="13" s="1"/>
  <c r="I39" i="13"/>
  <c r="J39" i="13"/>
  <c r="J41" i="13" s="1"/>
  <c r="K39" i="13"/>
  <c r="K41" i="13" s="1"/>
  <c r="L39" i="13"/>
  <c r="L41" i="13" s="1"/>
  <c r="C39" i="13"/>
  <c r="B31" i="13"/>
  <c r="D29" i="13"/>
  <c r="E29" i="13"/>
  <c r="F29" i="13"/>
  <c r="G29" i="13"/>
  <c r="H29" i="13"/>
  <c r="I29" i="13"/>
  <c r="J29" i="13"/>
  <c r="K29" i="13"/>
  <c r="L29" i="13"/>
  <c r="C29" i="13"/>
  <c r="B23" i="13"/>
  <c r="D21" i="13"/>
  <c r="E21" i="13"/>
  <c r="F21" i="13"/>
  <c r="G21" i="13"/>
  <c r="H21" i="13"/>
  <c r="I21" i="13"/>
  <c r="J21" i="13"/>
  <c r="K21" i="13"/>
  <c r="L21" i="13"/>
  <c r="C21" i="13"/>
  <c r="B15" i="13"/>
  <c r="D13" i="13"/>
  <c r="E13" i="13"/>
  <c r="F13" i="13"/>
  <c r="G13" i="13"/>
  <c r="H13" i="13"/>
  <c r="I13" i="13"/>
  <c r="J13" i="13"/>
  <c r="K13" i="13"/>
  <c r="L13" i="13"/>
  <c r="C13" i="13"/>
  <c r="B8" i="13"/>
  <c r="D6" i="13"/>
  <c r="E6" i="13"/>
  <c r="F6" i="13"/>
  <c r="G6" i="13"/>
  <c r="H6" i="13"/>
  <c r="I6" i="13"/>
  <c r="J6" i="13"/>
  <c r="K6" i="13"/>
  <c r="L6" i="13"/>
  <c r="C6" i="13"/>
  <c r="B1" i="13"/>
  <c r="D29" i="10"/>
  <c r="E29" i="10"/>
  <c r="F29" i="10"/>
  <c r="G29" i="10"/>
  <c r="H29" i="10"/>
  <c r="I29" i="10"/>
  <c r="J29" i="10"/>
  <c r="K29" i="10"/>
  <c r="L29" i="10"/>
  <c r="C29" i="10"/>
  <c r="D27" i="10"/>
  <c r="E27" i="10"/>
  <c r="F27" i="10"/>
  <c r="G27" i="10"/>
  <c r="H27" i="10"/>
  <c r="I27" i="10"/>
  <c r="J27" i="10"/>
  <c r="K27" i="10"/>
  <c r="L27" i="10"/>
  <c r="C27" i="10"/>
  <c r="D19" i="10"/>
  <c r="E19" i="10"/>
  <c r="F19" i="10"/>
  <c r="G19" i="10"/>
  <c r="H19" i="10"/>
  <c r="I19" i="10"/>
  <c r="J19" i="10"/>
  <c r="K19" i="10"/>
  <c r="L19" i="10"/>
  <c r="C19" i="10"/>
  <c r="D6" i="10"/>
  <c r="E6" i="10"/>
  <c r="F6" i="10"/>
  <c r="G6" i="10"/>
  <c r="H6" i="10"/>
  <c r="I6" i="10"/>
  <c r="J6" i="10"/>
  <c r="K6" i="10"/>
  <c r="L6" i="10"/>
  <c r="C6" i="10"/>
  <c r="B21" i="10"/>
  <c r="B8" i="10"/>
  <c r="B1" i="10"/>
  <c r="R49" i="5"/>
  <c r="R81" i="5"/>
  <c r="R82" i="5"/>
  <c r="F41" i="13" l="1"/>
  <c r="C41" i="13"/>
  <c r="Q255" i="5"/>
  <c r="C285" i="5"/>
  <c r="L283" i="5"/>
  <c r="K283" i="5"/>
  <c r="J283" i="5"/>
  <c r="I283" i="5"/>
  <c r="H283" i="5"/>
  <c r="G283" i="5"/>
  <c r="F283" i="5"/>
  <c r="E283" i="5"/>
  <c r="D283" i="5"/>
  <c r="C283" i="5"/>
  <c r="C286" i="5" s="1"/>
  <c r="A242" i="5"/>
  <c r="B242" i="5"/>
  <c r="C242" i="5"/>
  <c r="D242" i="5"/>
  <c r="E242" i="5"/>
  <c r="F242" i="5"/>
  <c r="G242" i="5"/>
  <c r="H242" i="5"/>
  <c r="I242" i="5"/>
  <c r="J242" i="5"/>
  <c r="K242" i="5"/>
  <c r="L242" i="5"/>
  <c r="A243" i="5"/>
  <c r="B243" i="5"/>
  <c r="C243" i="5"/>
  <c r="D243" i="5"/>
  <c r="E243" i="5"/>
  <c r="F243" i="5"/>
  <c r="G243" i="5"/>
  <c r="H243" i="5"/>
  <c r="I243" i="5"/>
  <c r="J243" i="5"/>
  <c r="K243" i="5"/>
  <c r="L243" i="5"/>
  <c r="A244" i="5"/>
  <c r="B244" i="5"/>
  <c r="C244" i="5"/>
  <c r="D244" i="5"/>
  <c r="E244" i="5"/>
  <c r="F244" i="5"/>
  <c r="G244" i="5"/>
  <c r="H244" i="5"/>
  <c r="I244" i="5"/>
  <c r="J244" i="5"/>
  <c r="K244" i="5"/>
  <c r="L244" i="5"/>
  <c r="A245" i="5"/>
  <c r="B245" i="5"/>
  <c r="C245" i="5"/>
  <c r="D245" i="5"/>
  <c r="E245" i="5"/>
  <c r="F245" i="5"/>
  <c r="G245" i="5"/>
  <c r="H245" i="5"/>
  <c r="I245" i="5"/>
  <c r="J245" i="5"/>
  <c r="K245" i="5"/>
  <c r="L245" i="5"/>
  <c r="A246" i="5"/>
  <c r="B246" i="5"/>
  <c r="C246" i="5"/>
  <c r="D246" i="5"/>
  <c r="E246" i="5"/>
  <c r="F246" i="5"/>
  <c r="G246" i="5"/>
  <c r="H246" i="5"/>
  <c r="I246" i="5"/>
  <c r="J246" i="5"/>
  <c r="K246" i="5"/>
  <c r="L246" i="5"/>
  <c r="A247" i="5"/>
  <c r="B247" i="5"/>
  <c r="C247" i="5"/>
  <c r="D247" i="5"/>
  <c r="E247" i="5"/>
  <c r="F247" i="5"/>
  <c r="G247" i="5"/>
  <c r="H247" i="5"/>
  <c r="I247" i="5"/>
  <c r="J247" i="5"/>
  <c r="K247" i="5"/>
  <c r="L247" i="5"/>
  <c r="A248" i="5"/>
  <c r="B248" i="5"/>
  <c r="C248" i="5"/>
  <c r="D248" i="5"/>
  <c r="E248" i="5"/>
  <c r="F248" i="5"/>
  <c r="G248" i="5"/>
  <c r="H248" i="5"/>
  <c r="I248" i="5"/>
  <c r="J248" i="5"/>
  <c r="K248" i="5"/>
  <c r="L248" i="5"/>
  <c r="A249" i="5"/>
  <c r="B249" i="5"/>
  <c r="C249" i="5"/>
  <c r="D249" i="5"/>
  <c r="E249" i="5"/>
  <c r="F249" i="5"/>
  <c r="G249" i="5"/>
  <c r="H249" i="5"/>
  <c r="I249" i="5"/>
  <c r="J249" i="5"/>
  <c r="K249" i="5"/>
  <c r="L249" i="5"/>
  <c r="A250" i="5"/>
  <c r="B250" i="5"/>
  <c r="C250" i="5"/>
  <c r="D250" i="5"/>
  <c r="E250" i="5"/>
  <c r="F250" i="5"/>
  <c r="G250" i="5"/>
  <c r="H250" i="5"/>
  <c r="I250" i="5"/>
  <c r="J250" i="5"/>
  <c r="K250" i="5"/>
  <c r="L250" i="5"/>
  <c r="A251" i="5"/>
  <c r="B251" i="5"/>
  <c r="C251" i="5"/>
  <c r="D251" i="5"/>
  <c r="E251" i="5"/>
  <c r="F251" i="5"/>
  <c r="G251" i="5"/>
  <c r="H251" i="5"/>
  <c r="I251" i="5"/>
  <c r="J251" i="5"/>
  <c r="K251" i="5"/>
  <c r="L251" i="5"/>
  <c r="A252" i="5"/>
  <c r="B252" i="5"/>
  <c r="C252" i="5"/>
  <c r="D252" i="5"/>
  <c r="E252" i="5"/>
  <c r="F252" i="5"/>
  <c r="G252" i="5"/>
  <c r="H252" i="5"/>
  <c r="I252" i="5"/>
  <c r="J252" i="5"/>
  <c r="K252" i="5"/>
  <c r="L252" i="5"/>
  <c r="A253" i="5"/>
  <c r="B253" i="5"/>
  <c r="C253" i="5"/>
  <c r="D253" i="5"/>
  <c r="E253" i="5"/>
  <c r="F253" i="5"/>
  <c r="G253" i="5"/>
  <c r="H253" i="5"/>
  <c r="I253" i="5"/>
  <c r="J253" i="5"/>
  <c r="K253" i="5"/>
  <c r="L253" i="5"/>
  <c r="A254" i="5"/>
  <c r="B254" i="5"/>
  <c r="C254" i="5"/>
  <c r="D254" i="5"/>
  <c r="E254" i="5"/>
  <c r="F254" i="5"/>
  <c r="G254" i="5"/>
  <c r="H254" i="5"/>
  <c r="I254" i="5"/>
  <c r="J254" i="5"/>
  <c r="K254" i="5"/>
  <c r="L254" i="5"/>
  <c r="A255" i="5"/>
  <c r="B255" i="5"/>
  <c r="C255" i="5"/>
  <c r="D255" i="5"/>
  <c r="E255" i="5"/>
  <c r="F255" i="5"/>
  <c r="G255" i="5"/>
  <c r="H255" i="5"/>
  <c r="I255" i="5"/>
  <c r="J255" i="5"/>
  <c r="K255" i="5"/>
  <c r="L255" i="5"/>
  <c r="A256" i="5"/>
  <c r="B256" i="5"/>
  <c r="C256" i="5"/>
  <c r="D256" i="5"/>
  <c r="E256" i="5"/>
  <c r="F256" i="5"/>
  <c r="G256" i="5"/>
  <c r="H256" i="5"/>
  <c r="I256" i="5"/>
  <c r="J256" i="5"/>
  <c r="K256" i="5"/>
  <c r="L256" i="5"/>
  <c r="A257" i="5"/>
  <c r="B257" i="5"/>
  <c r="C257" i="5"/>
  <c r="D257" i="5"/>
  <c r="E257" i="5"/>
  <c r="F257" i="5"/>
  <c r="G257" i="5"/>
  <c r="H257" i="5"/>
  <c r="I257" i="5"/>
  <c r="J257" i="5"/>
  <c r="K257" i="5"/>
  <c r="L257" i="5"/>
  <c r="A258" i="5"/>
  <c r="B258" i="5"/>
  <c r="C258" i="5"/>
  <c r="D258" i="5"/>
  <c r="E258" i="5"/>
  <c r="F258" i="5"/>
  <c r="G258" i="5"/>
  <c r="H258" i="5"/>
  <c r="I258" i="5"/>
  <c r="J258" i="5"/>
  <c r="K258" i="5"/>
  <c r="L258" i="5"/>
  <c r="A259" i="5"/>
  <c r="B259" i="5"/>
  <c r="C259" i="5"/>
  <c r="D259" i="5"/>
  <c r="E259" i="5"/>
  <c r="F259" i="5"/>
  <c r="G259" i="5"/>
  <c r="H259" i="5"/>
  <c r="I259" i="5"/>
  <c r="J259" i="5"/>
  <c r="K259" i="5"/>
  <c r="L259" i="5"/>
  <c r="A260" i="5"/>
  <c r="B260" i="5"/>
  <c r="C260" i="5"/>
  <c r="D260" i="5"/>
  <c r="E260" i="5"/>
  <c r="F260" i="5"/>
  <c r="G260" i="5"/>
  <c r="H260" i="5"/>
  <c r="I260" i="5"/>
  <c r="J260" i="5"/>
  <c r="K260" i="5"/>
  <c r="L260" i="5"/>
  <c r="A261" i="5"/>
  <c r="B261" i="5"/>
  <c r="C261" i="5"/>
  <c r="D261" i="5"/>
  <c r="E261" i="5"/>
  <c r="F261" i="5"/>
  <c r="G261" i="5"/>
  <c r="H261" i="5"/>
  <c r="I261" i="5"/>
  <c r="J261" i="5"/>
  <c r="K261" i="5"/>
  <c r="L261" i="5"/>
  <c r="A262" i="5"/>
  <c r="B262" i="5"/>
  <c r="C262" i="5"/>
  <c r="D262" i="5"/>
  <c r="E262" i="5"/>
  <c r="F262" i="5"/>
  <c r="G262" i="5"/>
  <c r="H262" i="5"/>
  <c r="I262" i="5"/>
  <c r="J262" i="5"/>
  <c r="K262" i="5"/>
  <c r="L262" i="5"/>
  <c r="A263" i="5"/>
  <c r="B263" i="5"/>
  <c r="C263" i="5"/>
  <c r="D263" i="5"/>
  <c r="E263" i="5"/>
  <c r="F263" i="5"/>
  <c r="G263" i="5"/>
  <c r="H263" i="5"/>
  <c r="I263" i="5"/>
  <c r="J263" i="5"/>
  <c r="K263" i="5"/>
  <c r="L263" i="5"/>
  <c r="A264" i="5"/>
  <c r="B264" i="5"/>
  <c r="C264" i="5"/>
  <c r="D264" i="5"/>
  <c r="E264" i="5"/>
  <c r="F264" i="5"/>
  <c r="G264" i="5"/>
  <c r="H264" i="5"/>
  <c r="I264" i="5"/>
  <c r="J264" i="5"/>
  <c r="K264" i="5"/>
  <c r="L264" i="5"/>
  <c r="A265" i="5"/>
  <c r="B265" i="5"/>
  <c r="C265" i="5"/>
  <c r="D265" i="5"/>
  <c r="E265" i="5"/>
  <c r="F265" i="5"/>
  <c r="G265" i="5"/>
  <c r="H265" i="5"/>
  <c r="I265" i="5"/>
  <c r="J265" i="5"/>
  <c r="K265" i="5"/>
  <c r="L265" i="5"/>
  <c r="A266" i="5"/>
  <c r="B266" i="5"/>
  <c r="C266" i="5"/>
  <c r="D266" i="5"/>
  <c r="E266" i="5"/>
  <c r="F266" i="5"/>
  <c r="G266" i="5"/>
  <c r="H266" i="5"/>
  <c r="I266" i="5"/>
  <c r="J266" i="5"/>
  <c r="K266" i="5"/>
  <c r="L266" i="5"/>
  <c r="A267" i="5"/>
  <c r="B267" i="5"/>
  <c r="C267" i="5"/>
  <c r="D267" i="5"/>
  <c r="E267" i="5"/>
  <c r="F267" i="5"/>
  <c r="G267" i="5"/>
  <c r="H267" i="5"/>
  <c r="I267" i="5"/>
  <c r="J267" i="5"/>
  <c r="K267" i="5"/>
  <c r="L267" i="5"/>
  <c r="A268" i="5"/>
  <c r="B268" i="5"/>
  <c r="C268" i="5"/>
  <c r="D268" i="5"/>
  <c r="E268" i="5"/>
  <c r="F268" i="5"/>
  <c r="G268" i="5"/>
  <c r="H268" i="5"/>
  <c r="I268" i="5"/>
  <c r="J268" i="5"/>
  <c r="K268" i="5"/>
  <c r="L268" i="5"/>
  <c r="A269" i="5"/>
  <c r="B269" i="5"/>
  <c r="C269" i="5"/>
  <c r="D269" i="5"/>
  <c r="E269" i="5"/>
  <c r="F269" i="5"/>
  <c r="G269" i="5"/>
  <c r="H269" i="5"/>
  <c r="I269" i="5"/>
  <c r="J269" i="5"/>
  <c r="K269" i="5"/>
  <c r="L269" i="5"/>
  <c r="A270" i="5"/>
  <c r="B270" i="5"/>
  <c r="C270" i="5"/>
  <c r="D270" i="5"/>
  <c r="E270" i="5"/>
  <c r="F270" i="5"/>
  <c r="G270" i="5"/>
  <c r="H270" i="5"/>
  <c r="I270" i="5"/>
  <c r="J270" i="5"/>
  <c r="K270" i="5"/>
  <c r="L270" i="5"/>
  <c r="A271" i="5"/>
  <c r="B271" i="5"/>
  <c r="C271" i="5"/>
  <c r="D271" i="5"/>
  <c r="E271" i="5"/>
  <c r="F271" i="5"/>
  <c r="G271" i="5"/>
  <c r="H271" i="5"/>
  <c r="I271" i="5"/>
  <c r="J271" i="5"/>
  <c r="K271" i="5"/>
  <c r="L271" i="5"/>
  <c r="A272" i="5"/>
  <c r="B272" i="5"/>
  <c r="C272" i="5"/>
  <c r="D272" i="5"/>
  <c r="E272" i="5"/>
  <c r="F272" i="5"/>
  <c r="G272" i="5"/>
  <c r="H272" i="5"/>
  <c r="I272" i="5"/>
  <c r="J272" i="5"/>
  <c r="K272" i="5"/>
  <c r="L272" i="5"/>
  <c r="A273" i="5"/>
  <c r="B273" i="5"/>
  <c r="C273" i="5"/>
  <c r="D273" i="5"/>
  <c r="E273" i="5"/>
  <c r="F273" i="5"/>
  <c r="G273" i="5"/>
  <c r="H273" i="5"/>
  <c r="I273" i="5"/>
  <c r="J273" i="5"/>
  <c r="K273" i="5"/>
  <c r="L273" i="5"/>
  <c r="A274" i="5"/>
  <c r="B274" i="5"/>
  <c r="C274" i="5"/>
  <c r="D274" i="5"/>
  <c r="E274" i="5"/>
  <c r="F274" i="5"/>
  <c r="G274" i="5"/>
  <c r="H274" i="5"/>
  <c r="I274" i="5"/>
  <c r="J274" i="5"/>
  <c r="K274" i="5"/>
  <c r="L274" i="5"/>
  <c r="A275" i="5"/>
  <c r="B275" i="5"/>
  <c r="C275" i="5"/>
  <c r="D275" i="5"/>
  <c r="E275" i="5"/>
  <c r="F275" i="5"/>
  <c r="G275" i="5"/>
  <c r="H275" i="5"/>
  <c r="I275" i="5"/>
  <c r="J275" i="5"/>
  <c r="K275" i="5"/>
  <c r="L275" i="5"/>
  <c r="A276" i="5"/>
  <c r="B276" i="5"/>
  <c r="C276" i="5"/>
  <c r="D276" i="5"/>
  <c r="E276" i="5"/>
  <c r="F276" i="5"/>
  <c r="G276" i="5"/>
  <c r="H276" i="5"/>
  <c r="I276" i="5"/>
  <c r="J276" i="5"/>
  <c r="K276" i="5"/>
  <c r="L276" i="5"/>
  <c r="A277" i="5"/>
  <c r="B277" i="5"/>
  <c r="C277" i="5"/>
  <c r="D277" i="5"/>
  <c r="E277" i="5"/>
  <c r="F277" i="5"/>
  <c r="G277" i="5"/>
  <c r="H277" i="5"/>
  <c r="I277" i="5"/>
  <c r="J277" i="5"/>
  <c r="K277" i="5"/>
  <c r="L277" i="5"/>
  <c r="A278" i="5"/>
  <c r="B278" i="5"/>
  <c r="C278" i="5"/>
  <c r="D278" i="5"/>
  <c r="E278" i="5"/>
  <c r="F278" i="5"/>
  <c r="G278" i="5"/>
  <c r="H278" i="5"/>
  <c r="I278" i="5"/>
  <c r="J278" i="5"/>
  <c r="K278" i="5"/>
  <c r="L278" i="5"/>
  <c r="A279" i="5"/>
  <c r="B279" i="5"/>
  <c r="C279" i="5"/>
  <c r="D279" i="5"/>
  <c r="E279" i="5"/>
  <c r="F279" i="5"/>
  <c r="G279" i="5"/>
  <c r="H279" i="5"/>
  <c r="I279" i="5"/>
  <c r="J279" i="5"/>
  <c r="K279" i="5"/>
  <c r="L279" i="5"/>
  <c r="A280" i="5"/>
  <c r="B280" i="5"/>
  <c r="C280" i="5"/>
  <c r="D280" i="5"/>
  <c r="E280" i="5"/>
  <c r="F280" i="5"/>
  <c r="G280" i="5"/>
  <c r="H280" i="5"/>
  <c r="I280" i="5"/>
  <c r="J280" i="5"/>
  <c r="K280" i="5"/>
  <c r="L280" i="5"/>
  <c r="A281" i="5"/>
  <c r="B281" i="5"/>
  <c r="C281" i="5"/>
  <c r="D281" i="5"/>
  <c r="E281" i="5"/>
  <c r="F281" i="5"/>
  <c r="G281" i="5"/>
  <c r="H281" i="5"/>
  <c r="I281" i="5"/>
  <c r="J281" i="5"/>
  <c r="K281" i="5"/>
  <c r="L281" i="5"/>
  <c r="A282" i="5"/>
  <c r="B282" i="5"/>
  <c r="C282" i="5"/>
  <c r="D282" i="5"/>
  <c r="E282" i="5"/>
  <c r="F282" i="5"/>
  <c r="G282" i="5"/>
  <c r="H282" i="5"/>
  <c r="I282" i="5"/>
  <c r="J282" i="5"/>
  <c r="K282" i="5"/>
  <c r="L282" i="5"/>
  <c r="B283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A224" i="5"/>
  <c r="B224" i="5"/>
  <c r="C224" i="5"/>
  <c r="D224" i="5"/>
  <c r="E224" i="5"/>
  <c r="F224" i="5"/>
  <c r="G224" i="5"/>
  <c r="H224" i="5"/>
  <c r="I224" i="5"/>
  <c r="J224" i="5"/>
  <c r="K224" i="5"/>
  <c r="L224" i="5"/>
  <c r="A225" i="5"/>
  <c r="B225" i="5"/>
  <c r="C225" i="5"/>
  <c r="D225" i="5"/>
  <c r="E225" i="5"/>
  <c r="F225" i="5"/>
  <c r="G225" i="5"/>
  <c r="H225" i="5"/>
  <c r="I225" i="5"/>
  <c r="J225" i="5"/>
  <c r="K225" i="5"/>
  <c r="L225" i="5"/>
  <c r="A226" i="5"/>
  <c r="B226" i="5"/>
  <c r="C226" i="5"/>
  <c r="D226" i="5"/>
  <c r="E226" i="5"/>
  <c r="F226" i="5"/>
  <c r="G226" i="5"/>
  <c r="H226" i="5"/>
  <c r="I226" i="5"/>
  <c r="J226" i="5"/>
  <c r="K226" i="5"/>
  <c r="L226" i="5"/>
  <c r="A227" i="5"/>
  <c r="B227" i="5"/>
  <c r="C227" i="5"/>
  <c r="D227" i="5"/>
  <c r="E227" i="5"/>
  <c r="F227" i="5"/>
  <c r="G227" i="5"/>
  <c r="H227" i="5"/>
  <c r="I227" i="5"/>
  <c r="J227" i="5"/>
  <c r="K227" i="5"/>
  <c r="L227" i="5"/>
  <c r="A228" i="5"/>
  <c r="B228" i="5"/>
  <c r="C228" i="5"/>
  <c r="D228" i="5"/>
  <c r="E228" i="5"/>
  <c r="F228" i="5"/>
  <c r="G228" i="5"/>
  <c r="H228" i="5"/>
  <c r="I228" i="5"/>
  <c r="J228" i="5"/>
  <c r="K228" i="5"/>
  <c r="L228" i="5"/>
  <c r="A229" i="5"/>
  <c r="B229" i="5"/>
  <c r="C229" i="5"/>
  <c r="D229" i="5"/>
  <c r="E229" i="5"/>
  <c r="F229" i="5"/>
  <c r="G229" i="5"/>
  <c r="H229" i="5"/>
  <c r="I229" i="5"/>
  <c r="J229" i="5"/>
  <c r="K229" i="5"/>
  <c r="L229" i="5"/>
  <c r="A230" i="5"/>
  <c r="B230" i="5"/>
  <c r="C230" i="5"/>
  <c r="D230" i="5"/>
  <c r="E230" i="5"/>
  <c r="F230" i="5"/>
  <c r="G230" i="5"/>
  <c r="H230" i="5"/>
  <c r="I230" i="5"/>
  <c r="J230" i="5"/>
  <c r="K230" i="5"/>
  <c r="L230" i="5"/>
  <c r="A231" i="5"/>
  <c r="B231" i="5"/>
  <c r="C231" i="5"/>
  <c r="D231" i="5"/>
  <c r="E231" i="5"/>
  <c r="F231" i="5"/>
  <c r="G231" i="5"/>
  <c r="H231" i="5"/>
  <c r="I231" i="5"/>
  <c r="J231" i="5"/>
  <c r="K231" i="5"/>
  <c r="L231" i="5"/>
  <c r="A232" i="5"/>
  <c r="B232" i="5"/>
  <c r="C232" i="5"/>
  <c r="D232" i="5"/>
  <c r="E232" i="5"/>
  <c r="F232" i="5"/>
  <c r="G232" i="5"/>
  <c r="H232" i="5"/>
  <c r="I232" i="5"/>
  <c r="J232" i="5"/>
  <c r="K232" i="5"/>
  <c r="L232" i="5"/>
  <c r="A233" i="5"/>
  <c r="B233" i="5"/>
  <c r="C233" i="5"/>
  <c r="D233" i="5"/>
  <c r="E233" i="5"/>
  <c r="F233" i="5"/>
  <c r="G233" i="5"/>
  <c r="H233" i="5"/>
  <c r="I233" i="5"/>
  <c r="J233" i="5"/>
  <c r="K233" i="5"/>
  <c r="L233" i="5"/>
  <c r="A234" i="5"/>
  <c r="B234" i="5"/>
  <c r="C234" i="5"/>
  <c r="D234" i="5"/>
  <c r="E234" i="5"/>
  <c r="F234" i="5"/>
  <c r="G234" i="5"/>
  <c r="H234" i="5"/>
  <c r="I234" i="5"/>
  <c r="J234" i="5"/>
  <c r="K234" i="5"/>
  <c r="L234" i="5"/>
  <c r="A235" i="5"/>
  <c r="B235" i="5"/>
  <c r="C235" i="5"/>
  <c r="D235" i="5"/>
  <c r="E235" i="5"/>
  <c r="F235" i="5"/>
  <c r="G235" i="5"/>
  <c r="H235" i="5"/>
  <c r="I235" i="5"/>
  <c r="J235" i="5"/>
  <c r="K235" i="5"/>
  <c r="L235" i="5"/>
  <c r="A236" i="5"/>
  <c r="B236" i="5"/>
  <c r="C236" i="5"/>
  <c r="D236" i="5"/>
  <c r="E236" i="5"/>
  <c r="F236" i="5"/>
  <c r="G236" i="5"/>
  <c r="H236" i="5"/>
  <c r="I236" i="5"/>
  <c r="J236" i="5"/>
  <c r="K236" i="5"/>
  <c r="L236" i="5"/>
  <c r="A237" i="5"/>
  <c r="B237" i="5"/>
  <c r="C237" i="5"/>
  <c r="D237" i="5"/>
  <c r="E237" i="5"/>
  <c r="F237" i="5"/>
  <c r="G237" i="5"/>
  <c r="H237" i="5"/>
  <c r="I237" i="5"/>
  <c r="J237" i="5"/>
  <c r="K237" i="5"/>
  <c r="L237" i="5"/>
  <c r="A238" i="5"/>
  <c r="B238" i="5"/>
  <c r="D238" i="5"/>
  <c r="E238" i="5"/>
  <c r="F238" i="5"/>
  <c r="G238" i="5"/>
  <c r="H238" i="5"/>
  <c r="I238" i="5"/>
  <c r="K238" i="5"/>
  <c r="L238" i="5"/>
  <c r="A239" i="5"/>
  <c r="B239" i="5"/>
  <c r="C239" i="5"/>
  <c r="D239" i="5"/>
  <c r="E239" i="5"/>
  <c r="F239" i="5"/>
  <c r="G239" i="5"/>
  <c r="H239" i="5"/>
  <c r="I239" i="5"/>
  <c r="J239" i="5"/>
  <c r="K239" i="5"/>
  <c r="L239" i="5"/>
  <c r="L223" i="5"/>
  <c r="K223" i="5"/>
  <c r="J223" i="5"/>
  <c r="I223" i="5"/>
  <c r="H223" i="5"/>
  <c r="G223" i="5"/>
  <c r="E223" i="5"/>
  <c r="D223" i="5"/>
  <c r="B223" i="5"/>
  <c r="A223" i="5"/>
  <c r="A202" i="5"/>
  <c r="B202" i="5"/>
  <c r="C202" i="5"/>
  <c r="D202" i="5"/>
  <c r="E202" i="5"/>
  <c r="F202" i="5"/>
  <c r="G202" i="5"/>
  <c r="H202" i="5"/>
  <c r="I202" i="5"/>
  <c r="J202" i="5"/>
  <c r="K202" i="5"/>
  <c r="L202" i="5"/>
  <c r="A203" i="5"/>
  <c r="B203" i="5"/>
  <c r="C203" i="5"/>
  <c r="D203" i="5"/>
  <c r="E203" i="5"/>
  <c r="F203" i="5"/>
  <c r="G203" i="5"/>
  <c r="H203" i="5"/>
  <c r="I203" i="5"/>
  <c r="J203" i="5"/>
  <c r="K203" i="5"/>
  <c r="L203" i="5"/>
  <c r="A204" i="5"/>
  <c r="B204" i="5"/>
  <c r="C204" i="5"/>
  <c r="D204" i="5"/>
  <c r="E204" i="5"/>
  <c r="F204" i="5"/>
  <c r="G204" i="5"/>
  <c r="H204" i="5"/>
  <c r="I204" i="5"/>
  <c r="J204" i="5"/>
  <c r="K204" i="5"/>
  <c r="L204" i="5"/>
  <c r="A205" i="5"/>
  <c r="B205" i="5"/>
  <c r="C205" i="5"/>
  <c r="D205" i="5"/>
  <c r="E205" i="5"/>
  <c r="F205" i="5"/>
  <c r="G205" i="5"/>
  <c r="H205" i="5"/>
  <c r="I205" i="5"/>
  <c r="J205" i="5"/>
  <c r="K205" i="5"/>
  <c r="L205" i="5"/>
  <c r="A206" i="5"/>
  <c r="B206" i="5"/>
  <c r="C206" i="5"/>
  <c r="D206" i="5"/>
  <c r="E206" i="5"/>
  <c r="F206" i="5"/>
  <c r="G206" i="5"/>
  <c r="H206" i="5"/>
  <c r="I206" i="5"/>
  <c r="J206" i="5"/>
  <c r="K206" i="5"/>
  <c r="L206" i="5"/>
  <c r="A207" i="5"/>
  <c r="B207" i="5"/>
  <c r="C207" i="5"/>
  <c r="D207" i="5"/>
  <c r="E207" i="5"/>
  <c r="F207" i="5"/>
  <c r="G207" i="5"/>
  <c r="H207" i="5"/>
  <c r="I207" i="5"/>
  <c r="J207" i="5"/>
  <c r="K207" i="5"/>
  <c r="L207" i="5"/>
  <c r="A208" i="5"/>
  <c r="B208" i="5"/>
  <c r="C208" i="5"/>
  <c r="D208" i="5"/>
  <c r="E208" i="5"/>
  <c r="F208" i="5"/>
  <c r="G208" i="5"/>
  <c r="H208" i="5"/>
  <c r="I208" i="5"/>
  <c r="J208" i="5"/>
  <c r="K208" i="5"/>
  <c r="L208" i="5"/>
  <c r="A209" i="5"/>
  <c r="B209" i="5"/>
  <c r="C209" i="5"/>
  <c r="D209" i="5"/>
  <c r="E209" i="5"/>
  <c r="F209" i="5"/>
  <c r="G209" i="5"/>
  <c r="H209" i="5"/>
  <c r="I209" i="5"/>
  <c r="J209" i="5"/>
  <c r="K209" i="5"/>
  <c r="L209" i="5"/>
  <c r="A210" i="5"/>
  <c r="B210" i="5"/>
  <c r="C210" i="5"/>
  <c r="D210" i="5"/>
  <c r="E210" i="5"/>
  <c r="F210" i="5"/>
  <c r="G210" i="5"/>
  <c r="H210" i="5"/>
  <c r="I210" i="5"/>
  <c r="J210" i="5"/>
  <c r="K210" i="5"/>
  <c r="L210" i="5"/>
  <c r="A211" i="5"/>
  <c r="B211" i="5"/>
  <c r="C211" i="5"/>
  <c r="D211" i="5"/>
  <c r="E211" i="5"/>
  <c r="F211" i="5"/>
  <c r="G211" i="5"/>
  <c r="H211" i="5"/>
  <c r="I211" i="5"/>
  <c r="J211" i="5"/>
  <c r="K211" i="5"/>
  <c r="L211" i="5"/>
  <c r="A212" i="5"/>
  <c r="B212" i="5"/>
  <c r="C212" i="5"/>
  <c r="D212" i="5"/>
  <c r="E212" i="5"/>
  <c r="F212" i="5"/>
  <c r="G212" i="5"/>
  <c r="H212" i="5"/>
  <c r="I212" i="5"/>
  <c r="J212" i="5"/>
  <c r="K212" i="5"/>
  <c r="L212" i="5"/>
  <c r="A213" i="5"/>
  <c r="B213" i="5"/>
  <c r="C213" i="5"/>
  <c r="D213" i="5"/>
  <c r="E213" i="5"/>
  <c r="F213" i="5"/>
  <c r="G213" i="5"/>
  <c r="H213" i="5"/>
  <c r="I213" i="5"/>
  <c r="J213" i="5"/>
  <c r="K213" i="5"/>
  <c r="L213" i="5"/>
  <c r="A214" i="5"/>
  <c r="B214" i="5"/>
  <c r="C214" i="5"/>
  <c r="D214" i="5"/>
  <c r="E214" i="5"/>
  <c r="F214" i="5"/>
  <c r="G214" i="5"/>
  <c r="H214" i="5"/>
  <c r="I214" i="5"/>
  <c r="J214" i="5"/>
  <c r="K214" i="5"/>
  <c r="L214" i="5"/>
  <c r="A215" i="5"/>
  <c r="B215" i="5"/>
  <c r="C215" i="5"/>
  <c r="D215" i="5"/>
  <c r="E215" i="5"/>
  <c r="F215" i="5"/>
  <c r="G215" i="5"/>
  <c r="H215" i="5"/>
  <c r="I215" i="5"/>
  <c r="J215" i="5"/>
  <c r="K215" i="5"/>
  <c r="L215" i="5"/>
  <c r="A216" i="5"/>
  <c r="B216" i="5"/>
  <c r="C216" i="5"/>
  <c r="D216" i="5"/>
  <c r="E216" i="5"/>
  <c r="F216" i="5"/>
  <c r="G216" i="5"/>
  <c r="H216" i="5"/>
  <c r="I216" i="5"/>
  <c r="J216" i="5"/>
  <c r="K216" i="5"/>
  <c r="L216" i="5"/>
  <c r="A217" i="5"/>
  <c r="B217" i="5"/>
  <c r="E217" i="5"/>
  <c r="F217" i="5"/>
  <c r="G217" i="5"/>
  <c r="H217" i="5"/>
  <c r="I217" i="5"/>
  <c r="J217" i="5"/>
  <c r="K217" i="5"/>
  <c r="L217" i="5"/>
  <c r="A218" i="5"/>
  <c r="B218" i="5"/>
  <c r="C218" i="5"/>
  <c r="D218" i="5"/>
  <c r="E218" i="5"/>
  <c r="F218" i="5"/>
  <c r="G218" i="5"/>
  <c r="H218" i="5"/>
  <c r="I218" i="5"/>
  <c r="J218" i="5"/>
  <c r="K218" i="5"/>
  <c r="L218" i="5"/>
  <c r="A219" i="5"/>
  <c r="B219" i="5"/>
  <c r="C219" i="5"/>
  <c r="D219" i="5"/>
  <c r="E219" i="5"/>
  <c r="F219" i="5"/>
  <c r="G219" i="5"/>
  <c r="H219" i="5"/>
  <c r="I219" i="5"/>
  <c r="J219" i="5"/>
  <c r="K219" i="5"/>
  <c r="L219" i="5"/>
  <c r="A220" i="5"/>
  <c r="B220" i="5"/>
  <c r="C220" i="5"/>
  <c r="D220" i="5"/>
  <c r="E220" i="5"/>
  <c r="F220" i="5"/>
  <c r="G220" i="5"/>
  <c r="H220" i="5"/>
  <c r="I220" i="5"/>
  <c r="J220" i="5"/>
  <c r="K220" i="5"/>
  <c r="L220" i="5"/>
  <c r="A221" i="5"/>
  <c r="B221" i="5"/>
  <c r="C221" i="5"/>
  <c r="D221" i="5"/>
  <c r="E221" i="5"/>
  <c r="F221" i="5"/>
  <c r="G221" i="5"/>
  <c r="H221" i="5"/>
  <c r="I221" i="5"/>
  <c r="J221" i="5"/>
  <c r="K221" i="5"/>
  <c r="L221" i="5"/>
  <c r="A201" i="5"/>
  <c r="B201" i="5"/>
  <c r="C201" i="5"/>
  <c r="D201" i="5"/>
  <c r="E201" i="5"/>
  <c r="F201" i="5"/>
  <c r="G201" i="5"/>
  <c r="H201" i="5"/>
  <c r="I201" i="5"/>
  <c r="J201" i="5"/>
  <c r="K201" i="5"/>
  <c r="L201" i="5"/>
  <c r="B200" i="5"/>
  <c r="C200" i="5"/>
  <c r="D200" i="5"/>
  <c r="E200" i="5"/>
  <c r="F200" i="5"/>
  <c r="G200" i="5"/>
  <c r="H200" i="5"/>
  <c r="I200" i="5"/>
  <c r="J200" i="5"/>
  <c r="K200" i="5"/>
  <c r="L200" i="5"/>
  <c r="A200" i="5"/>
  <c r="A141" i="5"/>
  <c r="B141" i="5"/>
  <c r="C141" i="5"/>
  <c r="D141" i="5"/>
  <c r="E141" i="5"/>
  <c r="F141" i="5"/>
  <c r="G141" i="5"/>
  <c r="H141" i="5"/>
  <c r="I141" i="5"/>
  <c r="J141" i="5"/>
  <c r="K141" i="5"/>
  <c r="L141" i="5"/>
  <c r="A142" i="5"/>
  <c r="B142" i="5"/>
  <c r="C142" i="5"/>
  <c r="D142" i="5"/>
  <c r="E142" i="5"/>
  <c r="F142" i="5"/>
  <c r="G142" i="5"/>
  <c r="H142" i="5"/>
  <c r="I142" i="5"/>
  <c r="J142" i="5"/>
  <c r="K142" i="5"/>
  <c r="L142" i="5"/>
  <c r="A143" i="5"/>
  <c r="B143" i="5"/>
  <c r="C143" i="5"/>
  <c r="D143" i="5"/>
  <c r="E143" i="5"/>
  <c r="F143" i="5"/>
  <c r="G143" i="5"/>
  <c r="H143" i="5"/>
  <c r="I143" i="5"/>
  <c r="J143" i="5"/>
  <c r="K143" i="5"/>
  <c r="L143" i="5"/>
  <c r="A144" i="5"/>
  <c r="B144" i="5"/>
  <c r="C144" i="5"/>
  <c r="D144" i="5"/>
  <c r="E144" i="5"/>
  <c r="F144" i="5"/>
  <c r="G144" i="5"/>
  <c r="H144" i="5"/>
  <c r="I144" i="5"/>
  <c r="J144" i="5"/>
  <c r="K144" i="5"/>
  <c r="L144" i="5"/>
  <c r="A145" i="5"/>
  <c r="B145" i="5"/>
  <c r="C145" i="5"/>
  <c r="D145" i="5"/>
  <c r="E145" i="5"/>
  <c r="F145" i="5"/>
  <c r="G145" i="5"/>
  <c r="H145" i="5"/>
  <c r="I145" i="5"/>
  <c r="J145" i="5"/>
  <c r="K145" i="5"/>
  <c r="L145" i="5"/>
  <c r="A146" i="5"/>
  <c r="B146" i="5"/>
  <c r="C146" i="5"/>
  <c r="D146" i="5"/>
  <c r="E146" i="5"/>
  <c r="F146" i="5"/>
  <c r="G146" i="5"/>
  <c r="H146" i="5"/>
  <c r="I146" i="5"/>
  <c r="J146" i="5"/>
  <c r="K146" i="5"/>
  <c r="L146" i="5"/>
  <c r="A147" i="5"/>
  <c r="B147" i="5"/>
  <c r="C147" i="5"/>
  <c r="D147" i="5"/>
  <c r="E147" i="5"/>
  <c r="F147" i="5"/>
  <c r="G147" i="5"/>
  <c r="H147" i="5"/>
  <c r="I147" i="5"/>
  <c r="J147" i="5"/>
  <c r="K147" i="5"/>
  <c r="L147" i="5"/>
  <c r="A148" i="5"/>
  <c r="B148" i="5"/>
  <c r="C148" i="5"/>
  <c r="D148" i="5"/>
  <c r="E148" i="5"/>
  <c r="F148" i="5"/>
  <c r="G148" i="5"/>
  <c r="H148" i="5"/>
  <c r="I148" i="5"/>
  <c r="J148" i="5"/>
  <c r="K148" i="5"/>
  <c r="L148" i="5"/>
  <c r="A149" i="5"/>
  <c r="B149" i="5"/>
  <c r="C149" i="5"/>
  <c r="D149" i="5"/>
  <c r="E149" i="5"/>
  <c r="F149" i="5"/>
  <c r="G149" i="5"/>
  <c r="H149" i="5"/>
  <c r="I149" i="5"/>
  <c r="J149" i="5"/>
  <c r="K149" i="5"/>
  <c r="L149" i="5"/>
  <c r="A150" i="5"/>
  <c r="B150" i="5"/>
  <c r="C150" i="5"/>
  <c r="D150" i="5"/>
  <c r="E150" i="5"/>
  <c r="F150" i="5"/>
  <c r="G150" i="5"/>
  <c r="H150" i="5"/>
  <c r="I150" i="5"/>
  <c r="J150" i="5"/>
  <c r="K150" i="5"/>
  <c r="L150" i="5"/>
  <c r="A151" i="5"/>
  <c r="B151" i="5"/>
  <c r="C151" i="5"/>
  <c r="D151" i="5"/>
  <c r="E151" i="5"/>
  <c r="F151" i="5"/>
  <c r="G151" i="5"/>
  <c r="H151" i="5"/>
  <c r="I151" i="5"/>
  <c r="J151" i="5"/>
  <c r="K151" i="5"/>
  <c r="L151" i="5"/>
  <c r="A152" i="5"/>
  <c r="B152" i="5"/>
  <c r="C152" i="5"/>
  <c r="D152" i="5"/>
  <c r="E152" i="5"/>
  <c r="F152" i="5"/>
  <c r="G152" i="5"/>
  <c r="H152" i="5"/>
  <c r="I152" i="5"/>
  <c r="J152" i="5"/>
  <c r="K152" i="5"/>
  <c r="L152" i="5"/>
  <c r="A153" i="5"/>
  <c r="B153" i="5"/>
  <c r="C153" i="5"/>
  <c r="D153" i="5"/>
  <c r="E153" i="5"/>
  <c r="F153" i="5"/>
  <c r="G153" i="5"/>
  <c r="H153" i="5"/>
  <c r="I153" i="5"/>
  <c r="J153" i="5"/>
  <c r="K153" i="5"/>
  <c r="L153" i="5"/>
  <c r="A154" i="5"/>
  <c r="B154" i="5"/>
  <c r="C154" i="5"/>
  <c r="D154" i="5"/>
  <c r="E154" i="5"/>
  <c r="F154" i="5"/>
  <c r="G154" i="5"/>
  <c r="H154" i="5"/>
  <c r="I154" i="5"/>
  <c r="J154" i="5"/>
  <c r="K154" i="5"/>
  <c r="L154" i="5"/>
  <c r="A155" i="5"/>
  <c r="B155" i="5"/>
  <c r="C155" i="5"/>
  <c r="D155" i="5"/>
  <c r="E155" i="5"/>
  <c r="F155" i="5"/>
  <c r="G155" i="5"/>
  <c r="H155" i="5"/>
  <c r="I155" i="5"/>
  <c r="J155" i="5"/>
  <c r="K155" i="5"/>
  <c r="L155" i="5"/>
  <c r="A156" i="5"/>
  <c r="B156" i="5"/>
  <c r="C156" i="5"/>
  <c r="D156" i="5"/>
  <c r="E156" i="5"/>
  <c r="F156" i="5"/>
  <c r="G156" i="5"/>
  <c r="H156" i="5"/>
  <c r="I156" i="5"/>
  <c r="J156" i="5"/>
  <c r="K156" i="5"/>
  <c r="L156" i="5"/>
  <c r="A157" i="5"/>
  <c r="B157" i="5"/>
  <c r="C157" i="5"/>
  <c r="D157" i="5"/>
  <c r="E157" i="5"/>
  <c r="F157" i="5"/>
  <c r="G157" i="5"/>
  <c r="H157" i="5"/>
  <c r="I157" i="5"/>
  <c r="J157" i="5"/>
  <c r="K157" i="5"/>
  <c r="L157" i="5"/>
  <c r="A158" i="5"/>
  <c r="B158" i="5"/>
  <c r="C158" i="5"/>
  <c r="D158" i="5"/>
  <c r="E158" i="5"/>
  <c r="F158" i="5"/>
  <c r="G158" i="5"/>
  <c r="H158" i="5"/>
  <c r="I158" i="5"/>
  <c r="J158" i="5"/>
  <c r="K158" i="5"/>
  <c r="L158" i="5"/>
  <c r="A159" i="5"/>
  <c r="B159" i="5"/>
  <c r="C159" i="5"/>
  <c r="D159" i="5"/>
  <c r="E159" i="5"/>
  <c r="F159" i="5"/>
  <c r="G159" i="5"/>
  <c r="H159" i="5"/>
  <c r="I159" i="5"/>
  <c r="J159" i="5"/>
  <c r="K159" i="5"/>
  <c r="L159" i="5"/>
  <c r="A160" i="5"/>
  <c r="B160" i="5"/>
  <c r="C160" i="5"/>
  <c r="D160" i="5"/>
  <c r="E160" i="5"/>
  <c r="F160" i="5"/>
  <c r="G160" i="5"/>
  <c r="H160" i="5"/>
  <c r="I160" i="5"/>
  <c r="J160" i="5"/>
  <c r="K160" i="5"/>
  <c r="L160" i="5"/>
  <c r="A161" i="5"/>
  <c r="B161" i="5"/>
  <c r="C161" i="5"/>
  <c r="D161" i="5"/>
  <c r="E161" i="5"/>
  <c r="F161" i="5"/>
  <c r="G161" i="5"/>
  <c r="H161" i="5"/>
  <c r="I161" i="5"/>
  <c r="J161" i="5"/>
  <c r="K161" i="5"/>
  <c r="L161" i="5"/>
  <c r="A162" i="5"/>
  <c r="B162" i="5"/>
  <c r="C162" i="5"/>
  <c r="D162" i="5"/>
  <c r="E162" i="5"/>
  <c r="F162" i="5"/>
  <c r="G162" i="5"/>
  <c r="H162" i="5"/>
  <c r="I162" i="5"/>
  <c r="J162" i="5"/>
  <c r="K162" i="5"/>
  <c r="L162" i="5"/>
  <c r="A163" i="5"/>
  <c r="B163" i="5"/>
  <c r="C163" i="5"/>
  <c r="D163" i="5"/>
  <c r="E163" i="5"/>
  <c r="F163" i="5"/>
  <c r="G163" i="5"/>
  <c r="H163" i="5"/>
  <c r="I163" i="5"/>
  <c r="J163" i="5"/>
  <c r="K163" i="5"/>
  <c r="L163" i="5"/>
  <c r="A164" i="5"/>
  <c r="B164" i="5"/>
  <c r="C164" i="5"/>
  <c r="D164" i="5"/>
  <c r="E164" i="5"/>
  <c r="F164" i="5"/>
  <c r="G164" i="5"/>
  <c r="H164" i="5"/>
  <c r="I164" i="5"/>
  <c r="J164" i="5"/>
  <c r="K164" i="5"/>
  <c r="L164" i="5"/>
  <c r="A165" i="5"/>
  <c r="B165" i="5"/>
  <c r="C165" i="5"/>
  <c r="D165" i="5"/>
  <c r="E165" i="5"/>
  <c r="F165" i="5"/>
  <c r="G165" i="5"/>
  <c r="H165" i="5"/>
  <c r="I165" i="5"/>
  <c r="J165" i="5"/>
  <c r="K165" i="5"/>
  <c r="L165" i="5"/>
  <c r="A166" i="5"/>
  <c r="B166" i="5"/>
  <c r="C166" i="5"/>
  <c r="D166" i="5"/>
  <c r="E166" i="5"/>
  <c r="F166" i="5"/>
  <c r="G166" i="5"/>
  <c r="H166" i="5"/>
  <c r="I166" i="5"/>
  <c r="J166" i="5"/>
  <c r="K166" i="5"/>
  <c r="L166" i="5"/>
  <c r="A167" i="5"/>
  <c r="B167" i="5"/>
  <c r="C167" i="5"/>
  <c r="D167" i="5"/>
  <c r="E167" i="5"/>
  <c r="F167" i="5"/>
  <c r="G167" i="5"/>
  <c r="H167" i="5"/>
  <c r="I167" i="5"/>
  <c r="J167" i="5"/>
  <c r="K167" i="5"/>
  <c r="L167" i="5"/>
  <c r="A168" i="5"/>
  <c r="B168" i="5"/>
  <c r="C168" i="5"/>
  <c r="D168" i="5"/>
  <c r="E168" i="5"/>
  <c r="F168" i="5"/>
  <c r="G168" i="5"/>
  <c r="H168" i="5"/>
  <c r="I168" i="5"/>
  <c r="J168" i="5"/>
  <c r="K168" i="5"/>
  <c r="L168" i="5"/>
  <c r="A169" i="5"/>
  <c r="B169" i="5"/>
  <c r="C169" i="5"/>
  <c r="D169" i="5"/>
  <c r="E169" i="5"/>
  <c r="F169" i="5"/>
  <c r="G169" i="5"/>
  <c r="H169" i="5"/>
  <c r="I169" i="5"/>
  <c r="J169" i="5"/>
  <c r="K169" i="5"/>
  <c r="L169" i="5"/>
  <c r="A170" i="5"/>
  <c r="B170" i="5"/>
  <c r="C170" i="5"/>
  <c r="D170" i="5"/>
  <c r="E170" i="5"/>
  <c r="F170" i="5"/>
  <c r="G170" i="5"/>
  <c r="H170" i="5"/>
  <c r="I170" i="5"/>
  <c r="J170" i="5"/>
  <c r="K170" i="5"/>
  <c r="L170" i="5"/>
  <c r="A171" i="5"/>
  <c r="B171" i="5"/>
  <c r="C171" i="5"/>
  <c r="D171" i="5"/>
  <c r="E171" i="5"/>
  <c r="F171" i="5"/>
  <c r="G171" i="5"/>
  <c r="H171" i="5"/>
  <c r="I171" i="5"/>
  <c r="J171" i="5"/>
  <c r="K171" i="5"/>
  <c r="L171" i="5"/>
  <c r="A172" i="5"/>
  <c r="B172" i="5"/>
  <c r="C172" i="5"/>
  <c r="D172" i="5"/>
  <c r="E172" i="5"/>
  <c r="F172" i="5"/>
  <c r="G172" i="5"/>
  <c r="H172" i="5"/>
  <c r="I172" i="5"/>
  <c r="J172" i="5"/>
  <c r="K172" i="5"/>
  <c r="L172" i="5"/>
  <c r="A173" i="5"/>
  <c r="B173" i="5"/>
  <c r="C173" i="5"/>
  <c r="D173" i="5"/>
  <c r="E173" i="5"/>
  <c r="F173" i="5"/>
  <c r="G173" i="5"/>
  <c r="H173" i="5"/>
  <c r="I173" i="5"/>
  <c r="J173" i="5"/>
  <c r="K173" i="5"/>
  <c r="L173" i="5"/>
  <c r="A174" i="5"/>
  <c r="B174" i="5"/>
  <c r="C174" i="5"/>
  <c r="D174" i="5"/>
  <c r="E174" i="5"/>
  <c r="F174" i="5"/>
  <c r="G174" i="5"/>
  <c r="H174" i="5"/>
  <c r="I174" i="5"/>
  <c r="J174" i="5"/>
  <c r="K174" i="5"/>
  <c r="L174" i="5"/>
  <c r="A175" i="5"/>
  <c r="B175" i="5"/>
  <c r="C175" i="5"/>
  <c r="D175" i="5"/>
  <c r="E175" i="5"/>
  <c r="F175" i="5"/>
  <c r="G175" i="5"/>
  <c r="H175" i="5"/>
  <c r="I175" i="5"/>
  <c r="J175" i="5"/>
  <c r="K175" i="5"/>
  <c r="L175" i="5"/>
  <c r="A176" i="5"/>
  <c r="B176" i="5"/>
  <c r="C176" i="5"/>
  <c r="D176" i="5"/>
  <c r="E176" i="5"/>
  <c r="F176" i="5"/>
  <c r="G176" i="5"/>
  <c r="H176" i="5"/>
  <c r="I176" i="5"/>
  <c r="J176" i="5"/>
  <c r="K176" i="5"/>
  <c r="L176" i="5"/>
  <c r="A177" i="5"/>
  <c r="B177" i="5"/>
  <c r="C177" i="5"/>
  <c r="D177" i="5"/>
  <c r="E177" i="5"/>
  <c r="F177" i="5"/>
  <c r="G177" i="5"/>
  <c r="H177" i="5"/>
  <c r="I177" i="5"/>
  <c r="J177" i="5"/>
  <c r="K177" i="5"/>
  <c r="L177" i="5"/>
  <c r="A178" i="5"/>
  <c r="B178" i="5"/>
  <c r="C178" i="5"/>
  <c r="D178" i="5"/>
  <c r="E178" i="5"/>
  <c r="F178" i="5"/>
  <c r="G178" i="5"/>
  <c r="H178" i="5"/>
  <c r="I178" i="5"/>
  <c r="J178" i="5"/>
  <c r="K178" i="5"/>
  <c r="L178" i="5"/>
  <c r="A179" i="5"/>
  <c r="B179" i="5"/>
  <c r="C179" i="5"/>
  <c r="D179" i="5"/>
  <c r="E179" i="5"/>
  <c r="F179" i="5"/>
  <c r="G179" i="5"/>
  <c r="H179" i="5"/>
  <c r="I179" i="5"/>
  <c r="J179" i="5"/>
  <c r="K179" i="5"/>
  <c r="L179" i="5"/>
  <c r="A180" i="5"/>
  <c r="B180" i="5"/>
  <c r="C180" i="5"/>
  <c r="D180" i="5"/>
  <c r="E180" i="5"/>
  <c r="F180" i="5"/>
  <c r="G180" i="5"/>
  <c r="H180" i="5"/>
  <c r="I180" i="5"/>
  <c r="J180" i="5"/>
  <c r="K180" i="5"/>
  <c r="L180" i="5"/>
  <c r="A181" i="5"/>
  <c r="B181" i="5"/>
  <c r="C181" i="5"/>
  <c r="D181" i="5"/>
  <c r="E181" i="5"/>
  <c r="F181" i="5"/>
  <c r="G181" i="5"/>
  <c r="H181" i="5"/>
  <c r="I181" i="5"/>
  <c r="J181" i="5"/>
  <c r="K181" i="5"/>
  <c r="L181" i="5"/>
  <c r="A182" i="5"/>
  <c r="B182" i="5"/>
  <c r="C182" i="5"/>
  <c r="D182" i="5"/>
  <c r="E182" i="5"/>
  <c r="F182" i="5"/>
  <c r="G182" i="5"/>
  <c r="H182" i="5"/>
  <c r="I182" i="5"/>
  <c r="J182" i="5"/>
  <c r="K182" i="5"/>
  <c r="L182" i="5"/>
  <c r="A183" i="5"/>
  <c r="B183" i="5"/>
  <c r="C183" i="5"/>
  <c r="D183" i="5"/>
  <c r="E183" i="5"/>
  <c r="F183" i="5"/>
  <c r="G183" i="5"/>
  <c r="H183" i="5"/>
  <c r="I183" i="5"/>
  <c r="J183" i="5"/>
  <c r="K183" i="5"/>
  <c r="L183" i="5"/>
  <c r="A184" i="5"/>
  <c r="B184" i="5"/>
  <c r="C184" i="5"/>
  <c r="D184" i="5"/>
  <c r="E184" i="5"/>
  <c r="F184" i="5"/>
  <c r="G184" i="5"/>
  <c r="H184" i="5"/>
  <c r="I184" i="5"/>
  <c r="J184" i="5"/>
  <c r="K184" i="5"/>
  <c r="L184" i="5"/>
  <c r="A185" i="5"/>
  <c r="B185" i="5"/>
  <c r="C185" i="5"/>
  <c r="D185" i="5"/>
  <c r="E185" i="5"/>
  <c r="F185" i="5"/>
  <c r="G185" i="5"/>
  <c r="H185" i="5"/>
  <c r="I185" i="5"/>
  <c r="J185" i="5"/>
  <c r="K185" i="5"/>
  <c r="L185" i="5"/>
  <c r="A186" i="5"/>
  <c r="B186" i="5"/>
  <c r="C186" i="5"/>
  <c r="D186" i="5"/>
  <c r="E186" i="5"/>
  <c r="F186" i="5"/>
  <c r="G186" i="5"/>
  <c r="H186" i="5"/>
  <c r="I186" i="5"/>
  <c r="J186" i="5"/>
  <c r="K186" i="5"/>
  <c r="L186" i="5"/>
  <c r="A187" i="5"/>
  <c r="B187" i="5"/>
  <c r="C187" i="5"/>
  <c r="D187" i="5"/>
  <c r="E187" i="5"/>
  <c r="F187" i="5"/>
  <c r="G187" i="5"/>
  <c r="H187" i="5"/>
  <c r="I187" i="5"/>
  <c r="J187" i="5"/>
  <c r="K187" i="5"/>
  <c r="L187" i="5"/>
  <c r="A188" i="5"/>
  <c r="B188" i="5"/>
  <c r="C188" i="5"/>
  <c r="D188" i="5"/>
  <c r="E188" i="5"/>
  <c r="F188" i="5"/>
  <c r="G188" i="5"/>
  <c r="H188" i="5"/>
  <c r="I188" i="5"/>
  <c r="J188" i="5"/>
  <c r="K188" i="5"/>
  <c r="L188" i="5"/>
  <c r="A189" i="5"/>
  <c r="B189" i="5"/>
  <c r="C189" i="5"/>
  <c r="D189" i="5"/>
  <c r="E189" i="5"/>
  <c r="F189" i="5"/>
  <c r="G189" i="5"/>
  <c r="H189" i="5"/>
  <c r="I189" i="5"/>
  <c r="J189" i="5"/>
  <c r="K189" i="5"/>
  <c r="L189" i="5"/>
  <c r="A190" i="5"/>
  <c r="B190" i="5"/>
  <c r="C190" i="5"/>
  <c r="D190" i="5"/>
  <c r="E190" i="5"/>
  <c r="F190" i="5"/>
  <c r="G190" i="5"/>
  <c r="H190" i="5"/>
  <c r="I190" i="5"/>
  <c r="J190" i="5"/>
  <c r="K190" i="5"/>
  <c r="L190" i="5"/>
  <c r="A191" i="5"/>
  <c r="B191" i="5"/>
  <c r="C191" i="5"/>
  <c r="D191" i="5"/>
  <c r="E191" i="5"/>
  <c r="F191" i="5"/>
  <c r="G191" i="5"/>
  <c r="H191" i="5"/>
  <c r="I191" i="5"/>
  <c r="J191" i="5"/>
  <c r="K191" i="5"/>
  <c r="L191" i="5"/>
  <c r="A192" i="5"/>
  <c r="B192" i="5"/>
  <c r="C192" i="5"/>
  <c r="D192" i="5"/>
  <c r="E192" i="5"/>
  <c r="F192" i="5"/>
  <c r="G192" i="5"/>
  <c r="H192" i="5"/>
  <c r="I192" i="5"/>
  <c r="J192" i="5"/>
  <c r="K192" i="5"/>
  <c r="L192" i="5"/>
  <c r="A193" i="5"/>
  <c r="B193" i="5"/>
  <c r="C193" i="5"/>
  <c r="D193" i="5"/>
  <c r="E193" i="5"/>
  <c r="F193" i="5"/>
  <c r="G193" i="5"/>
  <c r="H193" i="5"/>
  <c r="I193" i="5"/>
  <c r="J193" i="5"/>
  <c r="K193" i="5"/>
  <c r="L193" i="5"/>
  <c r="A194" i="5"/>
  <c r="B194" i="5"/>
  <c r="C194" i="5"/>
  <c r="D194" i="5"/>
  <c r="E194" i="5"/>
  <c r="F194" i="5"/>
  <c r="G194" i="5"/>
  <c r="H194" i="5"/>
  <c r="I194" i="5"/>
  <c r="J194" i="5"/>
  <c r="K194" i="5"/>
  <c r="L194" i="5"/>
  <c r="A195" i="5"/>
  <c r="B195" i="5"/>
  <c r="C195" i="5"/>
  <c r="D195" i="5"/>
  <c r="E195" i="5"/>
  <c r="F195" i="5"/>
  <c r="G195" i="5"/>
  <c r="H195" i="5"/>
  <c r="I195" i="5"/>
  <c r="J195" i="5"/>
  <c r="K195" i="5"/>
  <c r="L195" i="5"/>
  <c r="A196" i="5"/>
  <c r="B196" i="5"/>
  <c r="C196" i="5"/>
  <c r="D196" i="5"/>
  <c r="E196" i="5"/>
  <c r="F196" i="5"/>
  <c r="G196" i="5"/>
  <c r="H196" i="5"/>
  <c r="I196" i="5"/>
  <c r="J196" i="5"/>
  <c r="K196" i="5"/>
  <c r="L196" i="5"/>
  <c r="A197" i="5"/>
  <c r="B197" i="5"/>
  <c r="C197" i="5"/>
  <c r="D197" i="5"/>
  <c r="E197" i="5"/>
  <c r="F197" i="5"/>
  <c r="G197" i="5"/>
  <c r="H197" i="5"/>
  <c r="I197" i="5"/>
  <c r="J197" i="5"/>
  <c r="K197" i="5"/>
  <c r="L197" i="5"/>
  <c r="A198" i="5"/>
  <c r="B198" i="5"/>
  <c r="C198" i="5"/>
  <c r="D198" i="5"/>
  <c r="E198" i="5"/>
  <c r="F198" i="5"/>
  <c r="G198" i="5"/>
  <c r="H198" i="5"/>
  <c r="I198" i="5"/>
  <c r="J198" i="5"/>
  <c r="K198" i="5"/>
  <c r="L198" i="5"/>
  <c r="A3" i="5"/>
  <c r="B3" i="5"/>
  <c r="C3" i="5"/>
  <c r="D3" i="5"/>
  <c r="E3" i="5"/>
  <c r="F3" i="5"/>
  <c r="G3" i="5"/>
  <c r="H3" i="5"/>
  <c r="I3" i="5"/>
  <c r="J3" i="5"/>
  <c r="K3" i="5"/>
  <c r="L3" i="5"/>
  <c r="A4" i="5"/>
  <c r="B4" i="5"/>
  <c r="C4" i="5"/>
  <c r="D4" i="5"/>
  <c r="E4" i="5"/>
  <c r="F4" i="5"/>
  <c r="G4" i="5"/>
  <c r="H4" i="5"/>
  <c r="I4" i="5"/>
  <c r="J4" i="5"/>
  <c r="K4" i="5"/>
  <c r="L4" i="5"/>
  <c r="A5" i="5"/>
  <c r="B5" i="5"/>
  <c r="C5" i="5"/>
  <c r="D5" i="5"/>
  <c r="E5" i="5"/>
  <c r="F5" i="5"/>
  <c r="G5" i="5"/>
  <c r="H5" i="5"/>
  <c r="I5" i="5"/>
  <c r="J5" i="5"/>
  <c r="K5" i="5"/>
  <c r="L5" i="5"/>
  <c r="A6" i="5"/>
  <c r="B6" i="5"/>
  <c r="C6" i="5"/>
  <c r="D6" i="5"/>
  <c r="E6" i="5"/>
  <c r="F6" i="5"/>
  <c r="G6" i="5"/>
  <c r="H6" i="5"/>
  <c r="I6" i="5"/>
  <c r="J6" i="5"/>
  <c r="K6" i="5"/>
  <c r="L6" i="5"/>
  <c r="A7" i="5"/>
  <c r="B7" i="5"/>
  <c r="C7" i="5"/>
  <c r="D7" i="5"/>
  <c r="E7" i="5"/>
  <c r="F7" i="5"/>
  <c r="G7" i="5"/>
  <c r="H7" i="5"/>
  <c r="I7" i="5"/>
  <c r="J7" i="5"/>
  <c r="K7" i="5"/>
  <c r="L7" i="5"/>
  <c r="A8" i="5"/>
  <c r="B8" i="5"/>
  <c r="C8" i="5"/>
  <c r="D8" i="5"/>
  <c r="E8" i="5"/>
  <c r="F8" i="5"/>
  <c r="G8" i="5"/>
  <c r="H8" i="5"/>
  <c r="I8" i="5"/>
  <c r="J8" i="5"/>
  <c r="K8" i="5"/>
  <c r="L8" i="5"/>
  <c r="A9" i="5"/>
  <c r="B9" i="5"/>
  <c r="C9" i="5"/>
  <c r="D9" i="5"/>
  <c r="E9" i="5"/>
  <c r="F9" i="5"/>
  <c r="G9" i="5"/>
  <c r="H9" i="5"/>
  <c r="I9" i="5"/>
  <c r="J9" i="5"/>
  <c r="K9" i="5"/>
  <c r="L9" i="5"/>
  <c r="A10" i="5"/>
  <c r="B10" i="5"/>
  <c r="C10" i="5"/>
  <c r="D10" i="5"/>
  <c r="E10" i="5"/>
  <c r="F10" i="5"/>
  <c r="G10" i="5"/>
  <c r="H10" i="5"/>
  <c r="I10" i="5"/>
  <c r="J10" i="5"/>
  <c r="K10" i="5"/>
  <c r="L10" i="5"/>
  <c r="A11" i="5"/>
  <c r="B11" i="5"/>
  <c r="C11" i="5"/>
  <c r="D11" i="5"/>
  <c r="E11" i="5"/>
  <c r="F11" i="5"/>
  <c r="G11" i="5"/>
  <c r="H11" i="5"/>
  <c r="I11" i="5"/>
  <c r="J11" i="5"/>
  <c r="K11" i="5"/>
  <c r="L11" i="5"/>
  <c r="A12" i="5"/>
  <c r="B12" i="5"/>
  <c r="C12" i="5"/>
  <c r="D12" i="5"/>
  <c r="E12" i="5"/>
  <c r="F12" i="5"/>
  <c r="G12" i="5"/>
  <c r="H12" i="5"/>
  <c r="I12" i="5"/>
  <c r="J12" i="5"/>
  <c r="K12" i="5"/>
  <c r="L12" i="5"/>
  <c r="A13" i="5"/>
  <c r="B13" i="5"/>
  <c r="C13" i="5"/>
  <c r="D13" i="5"/>
  <c r="E13" i="5"/>
  <c r="F13" i="5"/>
  <c r="G13" i="5"/>
  <c r="H13" i="5"/>
  <c r="I13" i="5"/>
  <c r="J13" i="5"/>
  <c r="K13" i="5"/>
  <c r="L13" i="5"/>
  <c r="A14" i="5"/>
  <c r="B14" i="5"/>
  <c r="C14" i="5"/>
  <c r="D14" i="5"/>
  <c r="E14" i="5"/>
  <c r="F14" i="5"/>
  <c r="G14" i="5"/>
  <c r="H14" i="5"/>
  <c r="I14" i="5"/>
  <c r="J14" i="5"/>
  <c r="K14" i="5"/>
  <c r="L14" i="5"/>
  <c r="A15" i="5"/>
  <c r="B15" i="5"/>
  <c r="C15" i="5"/>
  <c r="D15" i="5"/>
  <c r="E15" i="5"/>
  <c r="F15" i="5"/>
  <c r="G15" i="5"/>
  <c r="H15" i="5"/>
  <c r="I15" i="5"/>
  <c r="J15" i="5"/>
  <c r="K15" i="5"/>
  <c r="L15" i="5"/>
  <c r="A16" i="5"/>
  <c r="B16" i="5"/>
  <c r="C16" i="5"/>
  <c r="D16" i="5"/>
  <c r="E16" i="5"/>
  <c r="F16" i="5"/>
  <c r="G16" i="5"/>
  <c r="H16" i="5"/>
  <c r="I16" i="5"/>
  <c r="J16" i="5"/>
  <c r="K16" i="5"/>
  <c r="L16" i="5"/>
  <c r="A17" i="5"/>
  <c r="B17" i="5"/>
  <c r="C17" i="5"/>
  <c r="D17" i="5"/>
  <c r="E17" i="5"/>
  <c r="F17" i="5"/>
  <c r="G17" i="5"/>
  <c r="H17" i="5"/>
  <c r="I17" i="5"/>
  <c r="J17" i="5"/>
  <c r="K17" i="5"/>
  <c r="L17" i="5"/>
  <c r="A18" i="5"/>
  <c r="B18" i="5"/>
  <c r="C18" i="5"/>
  <c r="D18" i="5"/>
  <c r="E18" i="5"/>
  <c r="F18" i="5"/>
  <c r="G18" i="5"/>
  <c r="H18" i="5"/>
  <c r="I18" i="5"/>
  <c r="J18" i="5"/>
  <c r="K18" i="5"/>
  <c r="L18" i="5"/>
  <c r="A19" i="5"/>
  <c r="B19" i="5"/>
  <c r="C19" i="5"/>
  <c r="D19" i="5"/>
  <c r="E19" i="5"/>
  <c r="F19" i="5"/>
  <c r="G19" i="5"/>
  <c r="H19" i="5"/>
  <c r="I19" i="5"/>
  <c r="J19" i="5"/>
  <c r="K19" i="5"/>
  <c r="L19" i="5"/>
  <c r="A20" i="5"/>
  <c r="B20" i="5"/>
  <c r="C20" i="5"/>
  <c r="D20" i="5"/>
  <c r="E20" i="5"/>
  <c r="F20" i="5"/>
  <c r="G20" i="5"/>
  <c r="H20" i="5"/>
  <c r="I20" i="5"/>
  <c r="J20" i="5"/>
  <c r="K20" i="5"/>
  <c r="L20" i="5"/>
  <c r="A21" i="5"/>
  <c r="B21" i="5"/>
  <c r="C21" i="5"/>
  <c r="D21" i="5"/>
  <c r="E21" i="5"/>
  <c r="F21" i="5"/>
  <c r="G21" i="5"/>
  <c r="H21" i="5"/>
  <c r="I21" i="5"/>
  <c r="J21" i="5"/>
  <c r="K21" i="5"/>
  <c r="L21" i="5"/>
  <c r="A22" i="5"/>
  <c r="B22" i="5"/>
  <c r="C22" i="5"/>
  <c r="D22" i="5"/>
  <c r="E22" i="5"/>
  <c r="F22" i="5"/>
  <c r="G22" i="5"/>
  <c r="H22" i="5"/>
  <c r="I22" i="5"/>
  <c r="J22" i="5"/>
  <c r="K22" i="5"/>
  <c r="L22" i="5"/>
  <c r="A23" i="5"/>
  <c r="B23" i="5"/>
  <c r="C23" i="5"/>
  <c r="D23" i="5"/>
  <c r="E23" i="5"/>
  <c r="F23" i="5"/>
  <c r="G23" i="5"/>
  <c r="H23" i="5"/>
  <c r="I23" i="5"/>
  <c r="J23" i="5"/>
  <c r="K23" i="5"/>
  <c r="L23" i="5"/>
  <c r="A24" i="5"/>
  <c r="B24" i="5"/>
  <c r="C24" i="5"/>
  <c r="D24" i="5"/>
  <c r="E24" i="5"/>
  <c r="F24" i="5"/>
  <c r="G24" i="5"/>
  <c r="H24" i="5"/>
  <c r="I24" i="5"/>
  <c r="J24" i="5"/>
  <c r="K24" i="5"/>
  <c r="L24" i="5"/>
  <c r="A25" i="5"/>
  <c r="B25" i="5"/>
  <c r="C25" i="5"/>
  <c r="D25" i="5"/>
  <c r="E25" i="5"/>
  <c r="F25" i="5"/>
  <c r="G25" i="5"/>
  <c r="H25" i="5"/>
  <c r="I25" i="5"/>
  <c r="J25" i="5"/>
  <c r="K25" i="5"/>
  <c r="L25" i="5"/>
  <c r="A26" i="5"/>
  <c r="B26" i="5"/>
  <c r="C26" i="5"/>
  <c r="D26" i="5"/>
  <c r="E26" i="5"/>
  <c r="F26" i="5"/>
  <c r="G26" i="5"/>
  <c r="H26" i="5"/>
  <c r="I26" i="5"/>
  <c r="J26" i="5"/>
  <c r="K26" i="5"/>
  <c r="L26" i="5"/>
  <c r="A27" i="5"/>
  <c r="B27" i="5"/>
  <c r="C27" i="5"/>
  <c r="D27" i="5"/>
  <c r="E27" i="5"/>
  <c r="F27" i="5"/>
  <c r="G27" i="5"/>
  <c r="H27" i="5"/>
  <c r="I27" i="5"/>
  <c r="J27" i="5"/>
  <c r="K27" i="5"/>
  <c r="L27" i="5"/>
  <c r="A28" i="5"/>
  <c r="B28" i="5"/>
  <c r="C28" i="5"/>
  <c r="D28" i="5"/>
  <c r="E28" i="5"/>
  <c r="F28" i="5"/>
  <c r="G28" i="5"/>
  <c r="H28" i="5"/>
  <c r="I28" i="5"/>
  <c r="J28" i="5"/>
  <c r="K28" i="5"/>
  <c r="L28" i="5"/>
  <c r="A29" i="5"/>
  <c r="B29" i="5"/>
  <c r="C29" i="5"/>
  <c r="D29" i="5"/>
  <c r="E29" i="5"/>
  <c r="F29" i="5"/>
  <c r="G29" i="5"/>
  <c r="H29" i="5"/>
  <c r="I29" i="5"/>
  <c r="J29" i="5"/>
  <c r="K29" i="5"/>
  <c r="L29" i="5"/>
  <c r="A30" i="5"/>
  <c r="B30" i="5"/>
  <c r="C30" i="5"/>
  <c r="D30" i="5"/>
  <c r="E30" i="5"/>
  <c r="F30" i="5"/>
  <c r="G30" i="5"/>
  <c r="H30" i="5"/>
  <c r="I30" i="5"/>
  <c r="J30" i="5"/>
  <c r="K30" i="5"/>
  <c r="L30" i="5"/>
  <c r="A31" i="5"/>
  <c r="B31" i="5"/>
  <c r="C31" i="5"/>
  <c r="D31" i="5"/>
  <c r="E31" i="5"/>
  <c r="F31" i="5"/>
  <c r="G31" i="5"/>
  <c r="H31" i="5"/>
  <c r="I31" i="5"/>
  <c r="J31" i="5"/>
  <c r="K31" i="5"/>
  <c r="L31" i="5"/>
  <c r="A32" i="5"/>
  <c r="B32" i="5"/>
  <c r="C32" i="5"/>
  <c r="D32" i="5"/>
  <c r="E32" i="5"/>
  <c r="F32" i="5"/>
  <c r="G32" i="5"/>
  <c r="H32" i="5"/>
  <c r="I32" i="5"/>
  <c r="J32" i="5"/>
  <c r="K32" i="5"/>
  <c r="L32" i="5"/>
  <c r="A33" i="5"/>
  <c r="B33" i="5"/>
  <c r="C33" i="5"/>
  <c r="D33" i="5"/>
  <c r="E33" i="5"/>
  <c r="F33" i="5"/>
  <c r="G33" i="5"/>
  <c r="H33" i="5"/>
  <c r="I33" i="5"/>
  <c r="J33" i="5"/>
  <c r="K33" i="5"/>
  <c r="L33" i="5"/>
  <c r="A34" i="5"/>
  <c r="B34" i="5"/>
  <c r="C34" i="5"/>
  <c r="D34" i="5"/>
  <c r="E34" i="5"/>
  <c r="F34" i="5"/>
  <c r="G34" i="5"/>
  <c r="H34" i="5"/>
  <c r="I34" i="5"/>
  <c r="J34" i="5"/>
  <c r="K34" i="5"/>
  <c r="L34" i="5"/>
  <c r="A35" i="5"/>
  <c r="B35" i="5"/>
  <c r="C35" i="5"/>
  <c r="D35" i="5"/>
  <c r="E35" i="5"/>
  <c r="F35" i="5"/>
  <c r="G35" i="5"/>
  <c r="H35" i="5"/>
  <c r="I35" i="5"/>
  <c r="J35" i="5"/>
  <c r="K35" i="5"/>
  <c r="L35" i="5"/>
  <c r="A36" i="5"/>
  <c r="B36" i="5"/>
  <c r="C36" i="5"/>
  <c r="D36" i="5"/>
  <c r="E36" i="5"/>
  <c r="F36" i="5"/>
  <c r="G36" i="5"/>
  <c r="H36" i="5"/>
  <c r="I36" i="5"/>
  <c r="J36" i="5"/>
  <c r="K36" i="5"/>
  <c r="L36" i="5"/>
  <c r="A37" i="5"/>
  <c r="B37" i="5"/>
  <c r="C37" i="5"/>
  <c r="D37" i="5"/>
  <c r="E37" i="5"/>
  <c r="F37" i="5"/>
  <c r="G37" i="5"/>
  <c r="H37" i="5"/>
  <c r="I37" i="5"/>
  <c r="J37" i="5"/>
  <c r="K37" i="5"/>
  <c r="L37" i="5"/>
  <c r="A38" i="5"/>
  <c r="B38" i="5"/>
  <c r="C38" i="5"/>
  <c r="D38" i="5"/>
  <c r="E38" i="5"/>
  <c r="F38" i="5"/>
  <c r="G38" i="5"/>
  <c r="H38" i="5"/>
  <c r="I38" i="5"/>
  <c r="J38" i="5"/>
  <c r="K38" i="5"/>
  <c r="L38" i="5"/>
  <c r="A39" i="5"/>
  <c r="B39" i="5"/>
  <c r="C39" i="5"/>
  <c r="D39" i="5"/>
  <c r="E39" i="5"/>
  <c r="F39" i="5"/>
  <c r="G39" i="5"/>
  <c r="H39" i="5"/>
  <c r="I39" i="5"/>
  <c r="J39" i="5"/>
  <c r="K39" i="5"/>
  <c r="L39" i="5"/>
  <c r="A40" i="5"/>
  <c r="B40" i="5"/>
  <c r="C40" i="5"/>
  <c r="D40" i="5"/>
  <c r="E40" i="5"/>
  <c r="F40" i="5"/>
  <c r="G40" i="5"/>
  <c r="H40" i="5"/>
  <c r="I40" i="5"/>
  <c r="J40" i="5"/>
  <c r="K40" i="5"/>
  <c r="L40" i="5"/>
  <c r="A41" i="5"/>
  <c r="B41" i="5"/>
  <c r="C41" i="5"/>
  <c r="D41" i="5"/>
  <c r="E41" i="5"/>
  <c r="F41" i="5"/>
  <c r="G41" i="5"/>
  <c r="H41" i="5"/>
  <c r="I41" i="5"/>
  <c r="J41" i="5"/>
  <c r="K41" i="5"/>
  <c r="L41" i="5"/>
  <c r="A42" i="5"/>
  <c r="B42" i="5"/>
  <c r="C42" i="5"/>
  <c r="D42" i="5"/>
  <c r="E42" i="5"/>
  <c r="F42" i="5"/>
  <c r="G42" i="5"/>
  <c r="H42" i="5"/>
  <c r="I42" i="5"/>
  <c r="J42" i="5"/>
  <c r="K42" i="5"/>
  <c r="L42" i="5"/>
  <c r="A43" i="5"/>
  <c r="B43" i="5"/>
  <c r="C43" i="5"/>
  <c r="D43" i="5"/>
  <c r="E43" i="5"/>
  <c r="F43" i="5"/>
  <c r="G43" i="5"/>
  <c r="H43" i="5"/>
  <c r="I43" i="5"/>
  <c r="J43" i="5"/>
  <c r="K43" i="5"/>
  <c r="L43" i="5"/>
  <c r="A44" i="5"/>
  <c r="B44" i="5"/>
  <c r="C44" i="5"/>
  <c r="D44" i="5"/>
  <c r="E44" i="5"/>
  <c r="F44" i="5"/>
  <c r="G44" i="5"/>
  <c r="H44" i="5"/>
  <c r="I44" i="5"/>
  <c r="J44" i="5"/>
  <c r="K44" i="5"/>
  <c r="L44" i="5"/>
  <c r="A45" i="5"/>
  <c r="B45" i="5"/>
  <c r="C45" i="5"/>
  <c r="D45" i="5"/>
  <c r="E45" i="5"/>
  <c r="F45" i="5"/>
  <c r="G45" i="5"/>
  <c r="H45" i="5"/>
  <c r="I45" i="5"/>
  <c r="J45" i="5"/>
  <c r="K45" i="5"/>
  <c r="L45" i="5"/>
  <c r="A46" i="5"/>
  <c r="B46" i="5"/>
  <c r="C46" i="5"/>
  <c r="D46" i="5"/>
  <c r="E46" i="5"/>
  <c r="F46" i="5"/>
  <c r="G46" i="5"/>
  <c r="H46" i="5"/>
  <c r="I46" i="5"/>
  <c r="J46" i="5"/>
  <c r="K46" i="5"/>
  <c r="L46" i="5"/>
  <c r="A47" i="5"/>
  <c r="B47" i="5"/>
  <c r="C47" i="5"/>
  <c r="D47" i="5"/>
  <c r="E47" i="5"/>
  <c r="F47" i="5"/>
  <c r="G47" i="5"/>
  <c r="H47" i="5"/>
  <c r="I47" i="5"/>
  <c r="J47" i="5"/>
  <c r="K47" i="5"/>
  <c r="L47" i="5"/>
  <c r="A48" i="5"/>
  <c r="B48" i="5"/>
  <c r="C48" i="5"/>
  <c r="D48" i="5"/>
  <c r="E48" i="5"/>
  <c r="F48" i="5"/>
  <c r="G48" i="5"/>
  <c r="H48" i="5"/>
  <c r="I48" i="5"/>
  <c r="J48" i="5"/>
  <c r="K48" i="5"/>
  <c r="L48" i="5"/>
  <c r="A49" i="5"/>
  <c r="B49" i="5"/>
  <c r="C49" i="5"/>
  <c r="D49" i="5"/>
  <c r="E49" i="5"/>
  <c r="F49" i="5"/>
  <c r="G49" i="5"/>
  <c r="H49" i="5"/>
  <c r="I49" i="5"/>
  <c r="J49" i="5"/>
  <c r="K49" i="5"/>
  <c r="L49" i="5"/>
  <c r="A50" i="5"/>
  <c r="B50" i="5"/>
  <c r="C50" i="5"/>
  <c r="D50" i="5"/>
  <c r="E50" i="5"/>
  <c r="F50" i="5"/>
  <c r="G50" i="5"/>
  <c r="H50" i="5"/>
  <c r="I50" i="5"/>
  <c r="J50" i="5"/>
  <c r="K50" i="5"/>
  <c r="L50" i="5"/>
  <c r="A51" i="5"/>
  <c r="B51" i="5"/>
  <c r="C51" i="5"/>
  <c r="D51" i="5"/>
  <c r="E51" i="5"/>
  <c r="F51" i="5"/>
  <c r="G51" i="5"/>
  <c r="H51" i="5"/>
  <c r="I51" i="5"/>
  <c r="J51" i="5"/>
  <c r="K51" i="5"/>
  <c r="L51" i="5"/>
  <c r="A52" i="5"/>
  <c r="B52" i="5"/>
  <c r="C52" i="5"/>
  <c r="D52" i="5"/>
  <c r="E52" i="5"/>
  <c r="F52" i="5"/>
  <c r="G52" i="5"/>
  <c r="H52" i="5"/>
  <c r="I52" i="5"/>
  <c r="J52" i="5"/>
  <c r="K52" i="5"/>
  <c r="L52" i="5"/>
  <c r="A53" i="5"/>
  <c r="B53" i="5"/>
  <c r="C53" i="5"/>
  <c r="D53" i="5"/>
  <c r="E53" i="5"/>
  <c r="F53" i="5"/>
  <c r="G53" i="5"/>
  <c r="H53" i="5"/>
  <c r="I53" i="5"/>
  <c r="J53" i="5"/>
  <c r="K53" i="5"/>
  <c r="L53" i="5"/>
  <c r="A54" i="5"/>
  <c r="B54" i="5"/>
  <c r="C54" i="5"/>
  <c r="D54" i="5"/>
  <c r="E54" i="5"/>
  <c r="F54" i="5"/>
  <c r="G54" i="5"/>
  <c r="H54" i="5"/>
  <c r="I54" i="5"/>
  <c r="J54" i="5"/>
  <c r="K54" i="5"/>
  <c r="L54" i="5"/>
  <c r="A55" i="5"/>
  <c r="B55" i="5"/>
  <c r="C55" i="5"/>
  <c r="D55" i="5"/>
  <c r="E55" i="5"/>
  <c r="F55" i="5"/>
  <c r="G55" i="5"/>
  <c r="H55" i="5"/>
  <c r="I55" i="5"/>
  <c r="J55" i="5"/>
  <c r="K55" i="5"/>
  <c r="L55" i="5"/>
  <c r="A56" i="5"/>
  <c r="B56" i="5"/>
  <c r="C56" i="5"/>
  <c r="D56" i="5"/>
  <c r="E56" i="5"/>
  <c r="F56" i="5"/>
  <c r="G56" i="5"/>
  <c r="H56" i="5"/>
  <c r="I56" i="5"/>
  <c r="J56" i="5"/>
  <c r="K56" i="5"/>
  <c r="L56" i="5"/>
  <c r="A57" i="5"/>
  <c r="B57" i="5"/>
  <c r="C57" i="5"/>
  <c r="D57" i="5"/>
  <c r="E57" i="5"/>
  <c r="F57" i="5"/>
  <c r="G57" i="5"/>
  <c r="H57" i="5"/>
  <c r="I57" i="5"/>
  <c r="J57" i="5"/>
  <c r="K57" i="5"/>
  <c r="L57" i="5"/>
  <c r="A58" i="5"/>
  <c r="B58" i="5"/>
  <c r="C58" i="5"/>
  <c r="D58" i="5"/>
  <c r="E58" i="5"/>
  <c r="F58" i="5"/>
  <c r="G58" i="5"/>
  <c r="H58" i="5"/>
  <c r="I58" i="5"/>
  <c r="J58" i="5"/>
  <c r="K58" i="5"/>
  <c r="L58" i="5"/>
  <c r="A59" i="5"/>
  <c r="B59" i="5"/>
  <c r="C59" i="5"/>
  <c r="D59" i="5"/>
  <c r="E59" i="5"/>
  <c r="F59" i="5"/>
  <c r="G59" i="5"/>
  <c r="H59" i="5"/>
  <c r="I59" i="5"/>
  <c r="J59" i="5"/>
  <c r="K59" i="5"/>
  <c r="L59" i="5"/>
  <c r="A60" i="5"/>
  <c r="B60" i="5"/>
  <c r="C60" i="5"/>
  <c r="D60" i="5"/>
  <c r="E60" i="5"/>
  <c r="F60" i="5"/>
  <c r="G60" i="5"/>
  <c r="H60" i="5"/>
  <c r="I60" i="5"/>
  <c r="J60" i="5"/>
  <c r="K60" i="5"/>
  <c r="L60" i="5"/>
  <c r="A61" i="5"/>
  <c r="B61" i="5"/>
  <c r="C61" i="5"/>
  <c r="D61" i="5"/>
  <c r="E61" i="5"/>
  <c r="F61" i="5"/>
  <c r="G61" i="5"/>
  <c r="H61" i="5"/>
  <c r="I61" i="5"/>
  <c r="J61" i="5"/>
  <c r="K61" i="5"/>
  <c r="L61" i="5"/>
  <c r="A62" i="5"/>
  <c r="B62" i="5"/>
  <c r="C62" i="5"/>
  <c r="D62" i="5"/>
  <c r="E62" i="5"/>
  <c r="F62" i="5"/>
  <c r="G62" i="5"/>
  <c r="H62" i="5"/>
  <c r="I62" i="5"/>
  <c r="J62" i="5"/>
  <c r="K62" i="5"/>
  <c r="L62" i="5"/>
  <c r="A63" i="5"/>
  <c r="B63" i="5"/>
  <c r="C63" i="5"/>
  <c r="D63" i="5"/>
  <c r="E63" i="5"/>
  <c r="F63" i="5"/>
  <c r="G63" i="5"/>
  <c r="H63" i="5"/>
  <c r="I63" i="5"/>
  <c r="J63" i="5"/>
  <c r="K63" i="5"/>
  <c r="L63" i="5"/>
  <c r="A64" i="5"/>
  <c r="B64" i="5"/>
  <c r="C64" i="5"/>
  <c r="D64" i="5"/>
  <c r="E64" i="5"/>
  <c r="F64" i="5"/>
  <c r="G64" i="5"/>
  <c r="H64" i="5"/>
  <c r="I64" i="5"/>
  <c r="J64" i="5"/>
  <c r="K64" i="5"/>
  <c r="L64" i="5"/>
  <c r="A65" i="5"/>
  <c r="B65" i="5"/>
  <c r="C65" i="5"/>
  <c r="D65" i="5"/>
  <c r="E65" i="5"/>
  <c r="F65" i="5"/>
  <c r="G65" i="5"/>
  <c r="H65" i="5"/>
  <c r="I65" i="5"/>
  <c r="J65" i="5"/>
  <c r="K65" i="5"/>
  <c r="L65" i="5"/>
  <c r="A66" i="5"/>
  <c r="B66" i="5"/>
  <c r="C66" i="5"/>
  <c r="D66" i="5"/>
  <c r="E66" i="5"/>
  <c r="F66" i="5"/>
  <c r="G66" i="5"/>
  <c r="H66" i="5"/>
  <c r="I66" i="5"/>
  <c r="J66" i="5"/>
  <c r="K66" i="5"/>
  <c r="L66" i="5"/>
  <c r="A67" i="5"/>
  <c r="B67" i="5"/>
  <c r="C67" i="5"/>
  <c r="D67" i="5"/>
  <c r="E67" i="5"/>
  <c r="F67" i="5"/>
  <c r="G67" i="5"/>
  <c r="H67" i="5"/>
  <c r="I67" i="5"/>
  <c r="J67" i="5"/>
  <c r="K67" i="5"/>
  <c r="L67" i="5"/>
  <c r="A68" i="5"/>
  <c r="B68" i="5"/>
  <c r="C68" i="5"/>
  <c r="D68" i="5"/>
  <c r="E68" i="5"/>
  <c r="F68" i="5"/>
  <c r="G68" i="5"/>
  <c r="H68" i="5"/>
  <c r="I68" i="5"/>
  <c r="J68" i="5"/>
  <c r="K68" i="5"/>
  <c r="L68" i="5"/>
  <c r="A69" i="5"/>
  <c r="B69" i="5"/>
  <c r="C69" i="5"/>
  <c r="D69" i="5"/>
  <c r="E69" i="5"/>
  <c r="F69" i="5"/>
  <c r="G69" i="5"/>
  <c r="H69" i="5"/>
  <c r="I69" i="5"/>
  <c r="J69" i="5"/>
  <c r="K69" i="5"/>
  <c r="L69" i="5"/>
  <c r="A70" i="5"/>
  <c r="B70" i="5"/>
  <c r="C70" i="5"/>
  <c r="D70" i="5"/>
  <c r="E70" i="5"/>
  <c r="F70" i="5"/>
  <c r="G70" i="5"/>
  <c r="H70" i="5"/>
  <c r="I70" i="5"/>
  <c r="J70" i="5"/>
  <c r="K70" i="5"/>
  <c r="L70" i="5"/>
  <c r="A71" i="5"/>
  <c r="B71" i="5"/>
  <c r="C71" i="5"/>
  <c r="D71" i="5"/>
  <c r="E71" i="5"/>
  <c r="F71" i="5"/>
  <c r="G71" i="5"/>
  <c r="H71" i="5"/>
  <c r="I71" i="5"/>
  <c r="J71" i="5"/>
  <c r="K71" i="5"/>
  <c r="L71" i="5"/>
  <c r="A72" i="5"/>
  <c r="B72" i="5"/>
  <c r="C72" i="5"/>
  <c r="D72" i="5"/>
  <c r="E72" i="5"/>
  <c r="F72" i="5"/>
  <c r="G72" i="5"/>
  <c r="H72" i="5"/>
  <c r="I72" i="5"/>
  <c r="J72" i="5"/>
  <c r="K72" i="5"/>
  <c r="L72" i="5"/>
  <c r="A73" i="5"/>
  <c r="B73" i="5"/>
  <c r="C73" i="5"/>
  <c r="D73" i="5"/>
  <c r="E73" i="5"/>
  <c r="F73" i="5"/>
  <c r="G73" i="5"/>
  <c r="H73" i="5"/>
  <c r="I73" i="5"/>
  <c r="J73" i="5"/>
  <c r="K73" i="5"/>
  <c r="L73" i="5"/>
  <c r="A74" i="5"/>
  <c r="B74" i="5"/>
  <c r="C74" i="5"/>
  <c r="D74" i="5"/>
  <c r="E74" i="5"/>
  <c r="F74" i="5"/>
  <c r="G74" i="5"/>
  <c r="H74" i="5"/>
  <c r="I74" i="5"/>
  <c r="J74" i="5"/>
  <c r="K74" i="5"/>
  <c r="L74" i="5"/>
  <c r="A75" i="5"/>
  <c r="B75" i="5"/>
  <c r="C75" i="5"/>
  <c r="D75" i="5"/>
  <c r="E75" i="5"/>
  <c r="F75" i="5"/>
  <c r="G75" i="5"/>
  <c r="H75" i="5"/>
  <c r="I75" i="5"/>
  <c r="J75" i="5"/>
  <c r="K75" i="5"/>
  <c r="L75" i="5"/>
  <c r="A76" i="5"/>
  <c r="B76" i="5"/>
  <c r="C76" i="5"/>
  <c r="D76" i="5"/>
  <c r="E76" i="5"/>
  <c r="F76" i="5"/>
  <c r="G76" i="5"/>
  <c r="H76" i="5"/>
  <c r="I76" i="5"/>
  <c r="J76" i="5"/>
  <c r="K76" i="5"/>
  <c r="L76" i="5"/>
  <c r="A77" i="5"/>
  <c r="B77" i="5"/>
  <c r="C77" i="5"/>
  <c r="D77" i="5"/>
  <c r="E77" i="5"/>
  <c r="F77" i="5"/>
  <c r="G77" i="5"/>
  <c r="H77" i="5"/>
  <c r="I77" i="5"/>
  <c r="J77" i="5"/>
  <c r="K77" i="5"/>
  <c r="L77" i="5"/>
  <c r="A78" i="5"/>
  <c r="B78" i="5"/>
  <c r="C78" i="5"/>
  <c r="D78" i="5"/>
  <c r="E78" i="5"/>
  <c r="F78" i="5"/>
  <c r="G78" i="5"/>
  <c r="H78" i="5"/>
  <c r="I78" i="5"/>
  <c r="J78" i="5"/>
  <c r="K78" i="5"/>
  <c r="L78" i="5"/>
  <c r="A79" i="5"/>
  <c r="B79" i="5"/>
  <c r="C79" i="5"/>
  <c r="D79" i="5"/>
  <c r="E79" i="5"/>
  <c r="F79" i="5"/>
  <c r="G79" i="5"/>
  <c r="H79" i="5"/>
  <c r="I79" i="5"/>
  <c r="J79" i="5"/>
  <c r="K79" i="5"/>
  <c r="L79" i="5"/>
  <c r="A80" i="5"/>
  <c r="B80" i="5"/>
  <c r="C80" i="5"/>
  <c r="D80" i="5"/>
  <c r="E80" i="5"/>
  <c r="F80" i="5"/>
  <c r="G80" i="5"/>
  <c r="H80" i="5"/>
  <c r="I80" i="5"/>
  <c r="J80" i="5"/>
  <c r="K80" i="5"/>
  <c r="L80" i="5"/>
  <c r="A81" i="5"/>
  <c r="B81" i="5"/>
  <c r="C81" i="5"/>
  <c r="D81" i="5"/>
  <c r="E81" i="5"/>
  <c r="F81" i="5"/>
  <c r="G81" i="5"/>
  <c r="H81" i="5"/>
  <c r="I81" i="5"/>
  <c r="J81" i="5"/>
  <c r="K81" i="5"/>
  <c r="L81" i="5"/>
  <c r="A82" i="5"/>
  <c r="B82" i="5"/>
  <c r="C82" i="5"/>
  <c r="D82" i="5"/>
  <c r="E82" i="5"/>
  <c r="F82" i="5"/>
  <c r="G82" i="5"/>
  <c r="H82" i="5"/>
  <c r="I82" i="5"/>
  <c r="J82" i="5"/>
  <c r="K82" i="5"/>
  <c r="L82" i="5"/>
  <c r="A83" i="5"/>
  <c r="B83" i="5"/>
  <c r="C83" i="5"/>
  <c r="D83" i="5"/>
  <c r="E83" i="5"/>
  <c r="F83" i="5"/>
  <c r="G83" i="5"/>
  <c r="H83" i="5"/>
  <c r="I83" i="5"/>
  <c r="J83" i="5"/>
  <c r="K83" i="5"/>
  <c r="L83" i="5"/>
  <c r="A84" i="5"/>
  <c r="B84" i="5"/>
  <c r="C84" i="5"/>
  <c r="D84" i="5"/>
  <c r="E84" i="5"/>
  <c r="F84" i="5"/>
  <c r="G84" i="5"/>
  <c r="H84" i="5"/>
  <c r="I84" i="5"/>
  <c r="J84" i="5"/>
  <c r="K84" i="5"/>
  <c r="L84" i="5"/>
  <c r="A85" i="5"/>
  <c r="B85" i="5"/>
  <c r="C85" i="5"/>
  <c r="D85" i="5"/>
  <c r="E85" i="5"/>
  <c r="F85" i="5"/>
  <c r="G85" i="5"/>
  <c r="H85" i="5"/>
  <c r="I85" i="5"/>
  <c r="J85" i="5"/>
  <c r="K85" i="5"/>
  <c r="L85" i="5"/>
  <c r="A86" i="5"/>
  <c r="B86" i="5"/>
  <c r="C86" i="5"/>
  <c r="D86" i="5"/>
  <c r="E86" i="5"/>
  <c r="F86" i="5"/>
  <c r="G86" i="5"/>
  <c r="H86" i="5"/>
  <c r="I86" i="5"/>
  <c r="J86" i="5"/>
  <c r="K86" i="5"/>
  <c r="L86" i="5"/>
  <c r="A87" i="5"/>
  <c r="B87" i="5"/>
  <c r="C87" i="5"/>
  <c r="D87" i="5"/>
  <c r="E87" i="5"/>
  <c r="F87" i="5"/>
  <c r="G87" i="5"/>
  <c r="H87" i="5"/>
  <c r="I87" i="5"/>
  <c r="J87" i="5"/>
  <c r="K87" i="5"/>
  <c r="L87" i="5"/>
  <c r="A88" i="5"/>
  <c r="B88" i="5"/>
  <c r="C88" i="5"/>
  <c r="D88" i="5"/>
  <c r="E88" i="5"/>
  <c r="F88" i="5"/>
  <c r="G88" i="5"/>
  <c r="H88" i="5"/>
  <c r="I88" i="5"/>
  <c r="J88" i="5"/>
  <c r="K88" i="5"/>
  <c r="L88" i="5"/>
  <c r="A89" i="5"/>
  <c r="B89" i="5"/>
  <c r="C89" i="5"/>
  <c r="D89" i="5"/>
  <c r="E89" i="5"/>
  <c r="F89" i="5"/>
  <c r="G89" i="5"/>
  <c r="H89" i="5"/>
  <c r="I89" i="5"/>
  <c r="J89" i="5"/>
  <c r="K89" i="5"/>
  <c r="L89" i="5"/>
  <c r="A90" i="5"/>
  <c r="B90" i="5"/>
  <c r="C90" i="5"/>
  <c r="D90" i="5"/>
  <c r="E90" i="5"/>
  <c r="F90" i="5"/>
  <c r="G90" i="5"/>
  <c r="H90" i="5"/>
  <c r="I90" i="5"/>
  <c r="J90" i="5"/>
  <c r="K90" i="5"/>
  <c r="L90" i="5"/>
  <c r="A91" i="5"/>
  <c r="B91" i="5"/>
  <c r="C91" i="5"/>
  <c r="D91" i="5"/>
  <c r="E91" i="5"/>
  <c r="F91" i="5"/>
  <c r="G91" i="5"/>
  <c r="H91" i="5"/>
  <c r="I91" i="5"/>
  <c r="J91" i="5"/>
  <c r="K91" i="5"/>
  <c r="L91" i="5"/>
  <c r="A92" i="5"/>
  <c r="B92" i="5"/>
  <c r="C92" i="5"/>
  <c r="D92" i="5"/>
  <c r="E92" i="5"/>
  <c r="F92" i="5"/>
  <c r="G92" i="5"/>
  <c r="H92" i="5"/>
  <c r="I92" i="5"/>
  <c r="J92" i="5"/>
  <c r="K92" i="5"/>
  <c r="L92" i="5"/>
  <c r="A93" i="5"/>
  <c r="B93" i="5"/>
  <c r="C93" i="5"/>
  <c r="D93" i="5"/>
  <c r="E93" i="5"/>
  <c r="F93" i="5"/>
  <c r="G93" i="5"/>
  <c r="H93" i="5"/>
  <c r="I93" i="5"/>
  <c r="J93" i="5"/>
  <c r="K93" i="5"/>
  <c r="L93" i="5"/>
  <c r="A94" i="5"/>
  <c r="B94" i="5"/>
  <c r="C94" i="5"/>
  <c r="D94" i="5"/>
  <c r="E94" i="5"/>
  <c r="F94" i="5"/>
  <c r="G94" i="5"/>
  <c r="H94" i="5"/>
  <c r="I94" i="5"/>
  <c r="J94" i="5"/>
  <c r="K94" i="5"/>
  <c r="L94" i="5"/>
  <c r="A95" i="5"/>
  <c r="B95" i="5"/>
  <c r="C95" i="5"/>
  <c r="D95" i="5"/>
  <c r="E95" i="5"/>
  <c r="F95" i="5"/>
  <c r="G95" i="5"/>
  <c r="H95" i="5"/>
  <c r="I95" i="5"/>
  <c r="J95" i="5"/>
  <c r="K95" i="5"/>
  <c r="L95" i="5"/>
  <c r="A96" i="5"/>
  <c r="B96" i="5"/>
  <c r="C96" i="5"/>
  <c r="D96" i="5"/>
  <c r="E96" i="5"/>
  <c r="F96" i="5"/>
  <c r="G96" i="5"/>
  <c r="H96" i="5"/>
  <c r="I96" i="5"/>
  <c r="J96" i="5"/>
  <c r="K96" i="5"/>
  <c r="L96" i="5"/>
  <c r="A97" i="5"/>
  <c r="B97" i="5"/>
  <c r="C97" i="5"/>
  <c r="D97" i="5"/>
  <c r="E97" i="5"/>
  <c r="F97" i="5"/>
  <c r="G97" i="5"/>
  <c r="H97" i="5"/>
  <c r="I97" i="5"/>
  <c r="J97" i="5"/>
  <c r="K97" i="5"/>
  <c r="L97" i="5"/>
  <c r="A98" i="5"/>
  <c r="B98" i="5"/>
  <c r="C98" i="5"/>
  <c r="D98" i="5"/>
  <c r="E98" i="5"/>
  <c r="F98" i="5"/>
  <c r="G98" i="5"/>
  <c r="H98" i="5"/>
  <c r="I98" i="5"/>
  <c r="J98" i="5"/>
  <c r="K98" i="5"/>
  <c r="L98" i="5"/>
  <c r="A99" i="5"/>
  <c r="B99" i="5"/>
  <c r="C99" i="5"/>
  <c r="D99" i="5"/>
  <c r="E99" i="5"/>
  <c r="F99" i="5"/>
  <c r="G99" i="5"/>
  <c r="H99" i="5"/>
  <c r="I99" i="5"/>
  <c r="J99" i="5"/>
  <c r="K99" i="5"/>
  <c r="L99" i="5"/>
  <c r="A100" i="5"/>
  <c r="B100" i="5"/>
  <c r="C100" i="5"/>
  <c r="D100" i="5"/>
  <c r="E100" i="5"/>
  <c r="F100" i="5"/>
  <c r="G100" i="5"/>
  <c r="H100" i="5"/>
  <c r="I100" i="5"/>
  <c r="J100" i="5"/>
  <c r="K100" i="5"/>
  <c r="L100" i="5"/>
  <c r="A101" i="5"/>
  <c r="B101" i="5"/>
  <c r="C101" i="5"/>
  <c r="D101" i="5"/>
  <c r="E101" i="5"/>
  <c r="F101" i="5"/>
  <c r="G101" i="5"/>
  <c r="H101" i="5"/>
  <c r="I101" i="5"/>
  <c r="J101" i="5"/>
  <c r="K101" i="5"/>
  <c r="L101" i="5"/>
  <c r="A102" i="5"/>
  <c r="B102" i="5"/>
  <c r="C102" i="5"/>
  <c r="D102" i="5"/>
  <c r="E102" i="5"/>
  <c r="F102" i="5"/>
  <c r="G102" i="5"/>
  <c r="H102" i="5"/>
  <c r="I102" i="5"/>
  <c r="J102" i="5"/>
  <c r="K102" i="5"/>
  <c r="L102" i="5"/>
  <c r="A103" i="5"/>
  <c r="B103" i="5"/>
  <c r="C103" i="5"/>
  <c r="D103" i="5"/>
  <c r="E103" i="5"/>
  <c r="F103" i="5"/>
  <c r="G103" i="5"/>
  <c r="H103" i="5"/>
  <c r="I103" i="5"/>
  <c r="J103" i="5"/>
  <c r="K103" i="5"/>
  <c r="L103" i="5"/>
  <c r="A104" i="5"/>
  <c r="B104" i="5"/>
  <c r="C104" i="5"/>
  <c r="D104" i="5"/>
  <c r="E104" i="5"/>
  <c r="F104" i="5"/>
  <c r="G104" i="5"/>
  <c r="H104" i="5"/>
  <c r="I104" i="5"/>
  <c r="J104" i="5"/>
  <c r="K104" i="5"/>
  <c r="L104" i="5"/>
  <c r="A105" i="5"/>
  <c r="B105" i="5"/>
  <c r="C105" i="5"/>
  <c r="D105" i="5"/>
  <c r="E105" i="5"/>
  <c r="F105" i="5"/>
  <c r="G105" i="5"/>
  <c r="H105" i="5"/>
  <c r="I105" i="5"/>
  <c r="J105" i="5"/>
  <c r="K105" i="5"/>
  <c r="L105" i="5"/>
  <c r="A106" i="5"/>
  <c r="B106" i="5"/>
  <c r="C106" i="5"/>
  <c r="D106" i="5"/>
  <c r="E106" i="5"/>
  <c r="F106" i="5"/>
  <c r="G106" i="5"/>
  <c r="H106" i="5"/>
  <c r="I106" i="5"/>
  <c r="J106" i="5"/>
  <c r="K106" i="5"/>
  <c r="L106" i="5"/>
  <c r="A107" i="5"/>
  <c r="B107" i="5"/>
  <c r="C107" i="5"/>
  <c r="D107" i="5"/>
  <c r="E107" i="5"/>
  <c r="F107" i="5"/>
  <c r="G107" i="5"/>
  <c r="H107" i="5"/>
  <c r="I107" i="5"/>
  <c r="J107" i="5"/>
  <c r="K107" i="5"/>
  <c r="L107" i="5"/>
  <c r="A108" i="5"/>
  <c r="B108" i="5"/>
  <c r="C108" i="5"/>
  <c r="D108" i="5"/>
  <c r="E108" i="5"/>
  <c r="F108" i="5"/>
  <c r="G108" i="5"/>
  <c r="H108" i="5"/>
  <c r="I108" i="5"/>
  <c r="J108" i="5"/>
  <c r="K108" i="5"/>
  <c r="L108" i="5"/>
  <c r="A109" i="5"/>
  <c r="B109" i="5"/>
  <c r="C109" i="5"/>
  <c r="D109" i="5"/>
  <c r="E109" i="5"/>
  <c r="F109" i="5"/>
  <c r="G109" i="5"/>
  <c r="H109" i="5"/>
  <c r="I109" i="5"/>
  <c r="J109" i="5"/>
  <c r="K109" i="5"/>
  <c r="L109" i="5"/>
  <c r="A110" i="5"/>
  <c r="B110" i="5"/>
  <c r="C110" i="5"/>
  <c r="D110" i="5"/>
  <c r="E110" i="5"/>
  <c r="F110" i="5"/>
  <c r="G110" i="5"/>
  <c r="H110" i="5"/>
  <c r="I110" i="5"/>
  <c r="J110" i="5"/>
  <c r="K110" i="5"/>
  <c r="L110" i="5"/>
  <c r="A111" i="5"/>
  <c r="B111" i="5"/>
  <c r="C111" i="5"/>
  <c r="D111" i="5"/>
  <c r="E111" i="5"/>
  <c r="F111" i="5"/>
  <c r="G111" i="5"/>
  <c r="H111" i="5"/>
  <c r="I111" i="5"/>
  <c r="J111" i="5"/>
  <c r="K111" i="5"/>
  <c r="L111" i="5"/>
  <c r="A112" i="5"/>
  <c r="B112" i="5"/>
  <c r="C112" i="5"/>
  <c r="D112" i="5"/>
  <c r="E112" i="5"/>
  <c r="F112" i="5"/>
  <c r="G112" i="5"/>
  <c r="H112" i="5"/>
  <c r="I112" i="5"/>
  <c r="J112" i="5"/>
  <c r="K112" i="5"/>
  <c r="L112" i="5"/>
  <c r="A113" i="5"/>
  <c r="B113" i="5"/>
  <c r="C113" i="5"/>
  <c r="D113" i="5"/>
  <c r="E113" i="5"/>
  <c r="F113" i="5"/>
  <c r="G113" i="5"/>
  <c r="H113" i="5"/>
  <c r="I113" i="5"/>
  <c r="J113" i="5"/>
  <c r="K113" i="5"/>
  <c r="L113" i="5"/>
  <c r="A114" i="5"/>
  <c r="B114" i="5"/>
  <c r="C114" i="5"/>
  <c r="D114" i="5"/>
  <c r="E114" i="5"/>
  <c r="F114" i="5"/>
  <c r="G114" i="5"/>
  <c r="H114" i="5"/>
  <c r="I114" i="5"/>
  <c r="J114" i="5"/>
  <c r="K114" i="5"/>
  <c r="L114" i="5"/>
  <c r="A115" i="5"/>
  <c r="B115" i="5"/>
  <c r="C115" i="5"/>
  <c r="D115" i="5"/>
  <c r="E115" i="5"/>
  <c r="F115" i="5"/>
  <c r="G115" i="5"/>
  <c r="H115" i="5"/>
  <c r="I115" i="5"/>
  <c r="J115" i="5"/>
  <c r="K115" i="5"/>
  <c r="L115" i="5"/>
  <c r="A116" i="5"/>
  <c r="B116" i="5"/>
  <c r="C116" i="5"/>
  <c r="D116" i="5"/>
  <c r="E116" i="5"/>
  <c r="F116" i="5"/>
  <c r="G116" i="5"/>
  <c r="H116" i="5"/>
  <c r="I116" i="5"/>
  <c r="J116" i="5"/>
  <c r="K116" i="5"/>
  <c r="L116" i="5"/>
  <c r="A117" i="5"/>
  <c r="B117" i="5"/>
  <c r="C117" i="5"/>
  <c r="D117" i="5"/>
  <c r="E117" i="5"/>
  <c r="F117" i="5"/>
  <c r="G117" i="5"/>
  <c r="H117" i="5"/>
  <c r="I117" i="5"/>
  <c r="J117" i="5"/>
  <c r="K117" i="5"/>
  <c r="L117" i="5"/>
  <c r="A118" i="5"/>
  <c r="B118" i="5"/>
  <c r="C118" i="5"/>
  <c r="D118" i="5"/>
  <c r="E118" i="5"/>
  <c r="F118" i="5"/>
  <c r="G118" i="5"/>
  <c r="H118" i="5"/>
  <c r="I118" i="5"/>
  <c r="J118" i="5"/>
  <c r="K118" i="5"/>
  <c r="L118" i="5"/>
  <c r="A119" i="5"/>
  <c r="B119" i="5"/>
  <c r="C119" i="5"/>
  <c r="D119" i="5"/>
  <c r="E119" i="5"/>
  <c r="F119" i="5"/>
  <c r="G119" i="5"/>
  <c r="H119" i="5"/>
  <c r="I119" i="5"/>
  <c r="J119" i="5"/>
  <c r="K119" i="5"/>
  <c r="L119" i="5"/>
  <c r="A120" i="5"/>
  <c r="B120" i="5"/>
  <c r="C120" i="5"/>
  <c r="D120" i="5"/>
  <c r="E120" i="5"/>
  <c r="F120" i="5"/>
  <c r="G120" i="5"/>
  <c r="H120" i="5"/>
  <c r="I120" i="5"/>
  <c r="J120" i="5"/>
  <c r="K120" i="5"/>
  <c r="L120" i="5"/>
  <c r="A121" i="5"/>
  <c r="B121" i="5"/>
  <c r="C121" i="5"/>
  <c r="D121" i="5"/>
  <c r="E121" i="5"/>
  <c r="F121" i="5"/>
  <c r="G121" i="5"/>
  <c r="H121" i="5"/>
  <c r="I121" i="5"/>
  <c r="J121" i="5"/>
  <c r="K121" i="5"/>
  <c r="L121" i="5"/>
  <c r="A122" i="5"/>
  <c r="B122" i="5"/>
  <c r="C122" i="5"/>
  <c r="D122" i="5"/>
  <c r="E122" i="5"/>
  <c r="F122" i="5"/>
  <c r="G122" i="5"/>
  <c r="H122" i="5"/>
  <c r="I122" i="5"/>
  <c r="J122" i="5"/>
  <c r="K122" i="5"/>
  <c r="L122" i="5"/>
  <c r="A123" i="5"/>
  <c r="B123" i="5"/>
  <c r="C123" i="5"/>
  <c r="D123" i="5"/>
  <c r="E123" i="5"/>
  <c r="F123" i="5"/>
  <c r="G123" i="5"/>
  <c r="H123" i="5"/>
  <c r="I123" i="5"/>
  <c r="J123" i="5"/>
  <c r="K123" i="5"/>
  <c r="L123" i="5"/>
  <c r="A124" i="5"/>
  <c r="B124" i="5"/>
  <c r="C124" i="5"/>
  <c r="D124" i="5"/>
  <c r="E124" i="5"/>
  <c r="F124" i="5"/>
  <c r="G124" i="5"/>
  <c r="H124" i="5"/>
  <c r="I124" i="5"/>
  <c r="J124" i="5"/>
  <c r="K124" i="5"/>
  <c r="L124" i="5"/>
  <c r="A125" i="5"/>
  <c r="B125" i="5"/>
  <c r="C125" i="5"/>
  <c r="D125" i="5"/>
  <c r="E125" i="5"/>
  <c r="F125" i="5"/>
  <c r="G125" i="5"/>
  <c r="H125" i="5"/>
  <c r="I125" i="5"/>
  <c r="J125" i="5"/>
  <c r="K125" i="5"/>
  <c r="L125" i="5"/>
  <c r="A126" i="5"/>
  <c r="B126" i="5"/>
  <c r="C126" i="5"/>
  <c r="D126" i="5"/>
  <c r="E126" i="5"/>
  <c r="F126" i="5"/>
  <c r="G126" i="5"/>
  <c r="H126" i="5"/>
  <c r="I126" i="5"/>
  <c r="J126" i="5"/>
  <c r="K126" i="5"/>
  <c r="L126" i="5"/>
  <c r="A127" i="5"/>
  <c r="B127" i="5"/>
  <c r="C127" i="5"/>
  <c r="D127" i="5"/>
  <c r="E127" i="5"/>
  <c r="F127" i="5"/>
  <c r="G127" i="5"/>
  <c r="H127" i="5"/>
  <c r="I127" i="5"/>
  <c r="J127" i="5"/>
  <c r="K127" i="5"/>
  <c r="L127" i="5"/>
  <c r="A128" i="5"/>
  <c r="B128" i="5"/>
  <c r="C128" i="5"/>
  <c r="D128" i="5"/>
  <c r="E128" i="5"/>
  <c r="F128" i="5"/>
  <c r="G128" i="5"/>
  <c r="H128" i="5"/>
  <c r="I128" i="5"/>
  <c r="J128" i="5"/>
  <c r="K128" i="5"/>
  <c r="L128" i="5"/>
  <c r="A129" i="5"/>
  <c r="B129" i="5"/>
  <c r="C129" i="5"/>
  <c r="D129" i="5"/>
  <c r="E129" i="5"/>
  <c r="F129" i="5"/>
  <c r="G129" i="5"/>
  <c r="H129" i="5"/>
  <c r="I129" i="5"/>
  <c r="J129" i="5"/>
  <c r="K129" i="5"/>
  <c r="L129" i="5"/>
  <c r="A130" i="5"/>
  <c r="B130" i="5"/>
  <c r="C130" i="5"/>
  <c r="D130" i="5"/>
  <c r="E130" i="5"/>
  <c r="F130" i="5"/>
  <c r="G130" i="5"/>
  <c r="H130" i="5"/>
  <c r="I130" i="5"/>
  <c r="J130" i="5"/>
  <c r="K130" i="5"/>
  <c r="L130" i="5"/>
  <c r="A131" i="5"/>
  <c r="B131" i="5"/>
  <c r="C131" i="5"/>
  <c r="D131" i="5"/>
  <c r="E131" i="5"/>
  <c r="F131" i="5"/>
  <c r="G131" i="5"/>
  <c r="H131" i="5"/>
  <c r="I131" i="5"/>
  <c r="J131" i="5"/>
  <c r="K131" i="5"/>
  <c r="L131" i="5"/>
  <c r="A132" i="5"/>
  <c r="B132" i="5"/>
  <c r="C132" i="5"/>
  <c r="D132" i="5"/>
  <c r="E132" i="5"/>
  <c r="F132" i="5"/>
  <c r="G132" i="5"/>
  <c r="H132" i="5"/>
  <c r="I132" i="5"/>
  <c r="J132" i="5"/>
  <c r="K132" i="5"/>
  <c r="L132" i="5"/>
  <c r="A133" i="5"/>
  <c r="B133" i="5"/>
  <c r="C133" i="5"/>
  <c r="D133" i="5"/>
  <c r="E133" i="5"/>
  <c r="F133" i="5"/>
  <c r="G133" i="5"/>
  <c r="H133" i="5"/>
  <c r="I133" i="5"/>
  <c r="J133" i="5"/>
  <c r="K133" i="5"/>
  <c r="L133" i="5"/>
  <c r="A134" i="5"/>
  <c r="B134" i="5"/>
  <c r="C134" i="5"/>
  <c r="D134" i="5"/>
  <c r="E134" i="5"/>
  <c r="F134" i="5"/>
  <c r="G134" i="5"/>
  <c r="H134" i="5"/>
  <c r="I134" i="5"/>
  <c r="J134" i="5"/>
  <c r="K134" i="5"/>
  <c r="L134" i="5"/>
  <c r="A135" i="5"/>
  <c r="B135" i="5"/>
  <c r="C135" i="5"/>
  <c r="D135" i="5"/>
  <c r="E135" i="5"/>
  <c r="F135" i="5"/>
  <c r="G135" i="5"/>
  <c r="H135" i="5"/>
  <c r="I135" i="5"/>
  <c r="J135" i="5"/>
  <c r="K135" i="5"/>
  <c r="L135" i="5"/>
  <c r="A136" i="5"/>
  <c r="B136" i="5"/>
  <c r="C136" i="5"/>
  <c r="D136" i="5"/>
  <c r="E136" i="5"/>
  <c r="F136" i="5"/>
  <c r="G136" i="5"/>
  <c r="H136" i="5"/>
  <c r="I136" i="5"/>
  <c r="J136" i="5"/>
  <c r="K136" i="5"/>
  <c r="L136" i="5"/>
  <c r="A137" i="5"/>
  <c r="B137" i="5"/>
  <c r="C137" i="5"/>
  <c r="D137" i="5"/>
  <c r="E137" i="5"/>
  <c r="F137" i="5"/>
  <c r="G137" i="5"/>
  <c r="H137" i="5"/>
  <c r="I137" i="5"/>
  <c r="J137" i="5"/>
  <c r="K137" i="5"/>
  <c r="L137" i="5"/>
  <c r="A138" i="5"/>
  <c r="B138" i="5"/>
  <c r="C138" i="5"/>
  <c r="D138" i="5"/>
  <c r="E138" i="5"/>
  <c r="F138" i="5"/>
  <c r="G138" i="5"/>
  <c r="H138" i="5"/>
  <c r="I138" i="5"/>
  <c r="J138" i="5"/>
  <c r="K138" i="5"/>
  <c r="L138" i="5"/>
  <c r="A139" i="5"/>
  <c r="B139" i="5"/>
  <c r="C139" i="5"/>
  <c r="D139" i="5"/>
  <c r="E139" i="5"/>
  <c r="F139" i="5"/>
  <c r="G139" i="5"/>
  <c r="H139" i="5"/>
  <c r="I139" i="5"/>
  <c r="J139" i="5"/>
  <c r="K139" i="5"/>
  <c r="L139" i="5"/>
  <c r="A140" i="5"/>
  <c r="B140" i="5"/>
  <c r="C140" i="5"/>
  <c r="D140" i="5"/>
  <c r="E140" i="5"/>
  <c r="F140" i="5"/>
  <c r="G140" i="5"/>
  <c r="H140" i="5"/>
  <c r="I140" i="5"/>
  <c r="J140" i="5"/>
  <c r="K140" i="5"/>
  <c r="L140" i="5"/>
  <c r="B2" i="5"/>
  <c r="C2" i="5"/>
  <c r="D2" i="5"/>
  <c r="E2" i="5"/>
  <c r="F2" i="5"/>
  <c r="G2" i="5"/>
  <c r="H2" i="5"/>
  <c r="I2" i="5"/>
  <c r="J2" i="5"/>
  <c r="K2" i="5"/>
  <c r="L2" i="5"/>
  <c r="A2" i="5"/>
  <c r="M283" i="5" l="1"/>
  <c r="N283" i="5" s="1"/>
  <c r="I37" i="2"/>
  <c r="I211" i="1"/>
  <c r="I209" i="1"/>
  <c r="R106" i="1"/>
  <c r="Q106" i="1"/>
  <c r="P106" i="1"/>
  <c r="O106" i="1"/>
  <c r="N106" i="1"/>
  <c r="M106" i="1"/>
  <c r="L106" i="1"/>
  <c r="K106" i="1"/>
  <c r="S106" i="1" s="1"/>
  <c r="T106" i="1" s="1"/>
  <c r="J106" i="1"/>
  <c r="I106" i="1"/>
  <c r="I107" i="1" s="1"/>
  <c r="R188" i="1"/>
  <c r="Q188" i="1"/>
  <c r="P188" i="1"/>
  <c r="O188" i="1"/>
  <c r="N188" i="1"/>
  <c r="M188" i="1"/>
  <c r="L188" i="1"/>
  <c r="K188" i="1"/>
  <c r="J188" i="1"/>
  <c r="I188" i="1"/>
  <c r="D188" i="1"/>
  <c r="B188" i="1"/>
  <c r="D208" i="1"/>
  <c r="B208" i="1"/>
  <c r="B35" i="2" l="1"/>
  <c r="E34" i="2"/>
  <c r="E33" i="2"/>
  <c r="E31" i="2"/>
  <c r="D32" i="2"/>
  <c r="E32" i="2" s="1"/>
  <c r="D33" i="2"/>
  <c r="D34" i="2"/>
  <c r="D31" i="2"/>
  <c r="D35" i="2" s="1"/>
  <c r="T44" i="4"/>
  <c r="S44" i="4"/>
  <c r="I45" i="4"/>
  <c r="I43" i="4"/>
  <c r="I42" i="4"/>
  <c r="I41" i="4"/>
  <c r="I40" i="4"/>
  <c r="I39" i="4"/>
  <c r="D4" i="4" s="1"/>
  <c r="E4" i="4" s="1"/>
  <c r="I38" i="4"/>
  <c r="I37" i="4"/>
  <c r="D38" i="4" s="1"/>
  <c r="E38" i="4" s="1"/>
  <c r="I36" i="4"/>
  <c r="D36" i="4" s="1"/>
  <c r="E36" i="4" s="1"/>
  <c r="I35" i="4"/>
  <c r="I34" i="4"/>
  <c r="I33" i="4"/>
  <c r="I32" i="4"/>
  <c r="D12" i="4" s="1"/>
  <c r="E12" i="4" s="1"/>
  <c r="I31" i="4"/>
  <c r="I30" i="4"/>
  <c r="D2" i="4" s="1"/>
  <c r="I29" i="4"/>
  <c r="I28" i="4"/>
  <c r="D41" i="4" s="1"/>
  <c r="E41" i="4" s="1"/>
  <c r="I27" i="4"/>
  <c r="I26" i="4"/>
  <c r="I25" i="4"/>
  <c r="I24" i="4"/>
  <c r="D28" i="4" s="1"/>
  <c r="E28" i="4" s="1"/>
  <c r="I23" i="4"/>
  <c r="I22" i="4"/>
  <c r="I21" i="4"/>
  <c r="D23" i="4" s="1"/>
  <c r="E23" i="4" s="1"/>
  <c r="I20" i="4"/>
  <c r="D22" i="4" s="1"/>
  <c r="E22" i="4" s="1"/>
  <c r="I19" i="4"/>
  <c r="I18" i="4"/>
  <c r="I17" i="4"/>
  <c r="I16" i="4"/>
  <c r="I15" i="4"/>
  <c r="D14" i="4" s="1"/>
  <c r="E14" i="4" s="1"/>
  <c r="I14" i="4"/>
  <c r="D8" i="4" s="1"/>
  <c r="E8" i="4" s="1"/>
  <c r="I13" i="4"/>
  <c r="I12" i="4"/>
  <c r="D39" i="4" s="1"/>
  <c r="E39" i="4" s="1"/>
  <c r="I11" i="4"/>
  <c r="I10" i="4"/>
  <c r="I9" i="4"/>
  <c r="I8" i="4"/>
  <c r="D13" i="4" s="1"/>
  <c r="E13" i="4" s="1"/>
  <c r="I7" i="4"/>
  <c r="I6" i="4"/>
  <c r="D7" i="4" s="1"/>
  <c r="E7" i="4" s="1"/>
  <c r="I5" i="4"/>
  <c r="D6" i="4" s="1"/>
  <c r="E6" i="4" s="1"/>
  <c r="I4" i="4"/>
  <c r="D5" i="4" s="1"/>
  <c r="E5" i="4" s="1"/>
  <c r="I3" i="4"/>
  <c r="I2" i="4"/>
  <c r="E15" i="4"/>
  <c r="E30" i="4"/>
  <c r="E31" i="4"/>
  <c r="B44" i="4"/>
  <c r="D3" i="4"/>
  <c r="E3" i="4" s="1"/>
  <c r="D9" i="4"/>
  <c r="E9" i="4" s="1"/>
  <c r="D10" i="4"/>
  <c r="E10" i="4" s="1"/>
  <c r="D11" i="4"/>
  <c r="E11" i="4" s="1"/>
  <c r="D15" i="4"/>
  <c r="D16" i="4"/>
  <c r="E16" i="4" s="1"/>
  <c r="D17" i="4"/>
  <c r="E17" i="4" s="1"/>
  <c r="D18" i="4"/>
  <c r="E18" i="4" s="1"/>
  <c r="D19" i="4"/>
  <c r="E19" i="4" s="1"/>
  <c r="D20" i="4"/>
  <c r="E20" i="4" s="1"/>
  <c r="D21" i="4"/>
  <c r="E21" i="4" s="1"/>
  <c r="D24" i="4"/>
  <c r="E24" i="4" s="1"/>
  <c r="D25" i="4"/>
  <c r="E25" i="4" s="1"/>
  <c r="D26" i="4"/>
  <c r="E26" i="4" s="1"/>
  <c r="D27" i="4"/>
  <c r="E27" i="4" s="1"/>
  <c r="D29" i="4"/>
  <c r="E29" i="4" s="1"/>
  <c r="D30" i="4"/>
  <c r="D31" i="4"/>
  <c r="D32" i="4"/>
  <c r="E32" i="4" s="1"/>
  <c r="D33" i="4"/>
  <c r="E33" i="4" s="1"/>
  <c r="D34" i="4"/>
  <c r="E34" i="4" s="1"/>
  <c r="D35" i="4"/>
  <c r="E35" i="4" s="1"/>
  <c r="D37" i="4"/>
  <c r="E37" i="4" s="1"/>
  <c r="D40" i="4"/>
  <c r="E40" i="4" s="1"/>
  <c r="D42" i="4"/>
  <c r="E42" i="4" s="1"/>
  <c r="D43" i="4"/>
  <c r="E43" i="4" s="1"/>
  <c r="E35" i="2" l="1"/>
  <c r="D44" i="4"/>
  <c r="E2" i="4"/>
  <c r="E44" i="4" s="1"/>
  <c r="R23" i="3"/>
  <c r="Q23" i="3"/>
  <c r="P23" i="3"/>
  <c r="O23" i="3"/>
  <c r="N23" i="3"/>
  <c r="M23" i="3"/>
  <c r="L23" i="3"/>
  <c r="K23" i="3"/>
  <c r="J23" i="3"/>
  <c r="I23" i="3"/>
  <c r="I22" i="3"/>
  <c r="I21" i="3"/>
  <c r="I20" i="3"/>
  <c r="B23" i="3"/>
  <c r="D21" i="3"/>
  <c r="E21" i="3" s="1"/>
  <c r="D22" i="3"/>
  <c r="E22" i="3" s="1"/>
  <c r="D20" i="3"/>
  <c r="E20" i="3" s="1"/>
  <c r="E23" i="3" s="1"/>
  <c r="R16" i="3"/>
  <c r="Q16" i="3"/>
  <c r="P16" i="3"/>
  <c r="O16" i="3"/>
  <c r="N16" i="3"/>
  <c r="M16" i="3"/>
  <c r="L16" i="3"/>
  <c r="K16" i="3"/>
  <c r="J16" i="3"/>
  <c r="I15" i="3"/>
  <c r="D10" i="3" s="1"/>
  <c r="E10" i="3" s="1"/>
  <c r="I14" i="3"/>
  <c r="D15" i="3" s="1"/>
  <c r="E15" i="3" s="1"/>
  <c r="I13" i="3"/>
  <c r="D13" i="3" s="1"/>
  <c r="E13" i="3" s="1"/>
  <c r="I12" i="3"/>
  <c r="D5" i="3" s="1"/>
  <c r="E5" i="3" s="1"/>
  <c r="I11" i="3"/>
  <c r="D6" i="3" s="1"/>
  <c r="E6" i="3" s="1"/>
  <c r="I10" i="3"/>
  <c r="D4" i="3" s="1"/>
  <c r="E4" i="3" s="1"/>
  <c r="I9" i="3"/>
  <c r="D2" i="3" s="1"/>
  <c r="E2" i="3" s="1"/>
  <c r="I8" i="3"/>
  <c r="D14" i="3" s="1"/>
  <c r="E14" i="3" s="1"/>
  <c r="I7" i="3"/>
  <c r="D11" i="3" s="1"/>
  <c r="E11" i="3" s="1"/>
  <c r="I6" i="3"/>
  <c r="D7" i="3" s="1"/>
  <c r="E7" i="3" s="1"/>
  <c r="I5" i="3"/>
  <c r="D12" i="3" s="1"/>
  <c r="E12" i="3" s="1"/>
  <c r="I4" i="3"/>
  <c r="I3" i="3"/>
  <c r="D8" i="3" s="1"/>
  <c r="E8" i="3" s="1"/>
  <c r="I2" i="3"/>
  <c r="B16" i="3"/>
  <c r="C17" i="3" s="1"/>
  <c r="D3" i="3"/>
  <c r="E3" i="3" s="1"/>
  <c r="D9" i="3"/>
  <c r="E9" i="3" s="1"/>
  <c r="J28" i="2"/>
  <c r="K23" i="2"/>
  <c r="I23" i="2" s="1"/>
  <c r="D24" i="2" s="1"/>
  <c r="E24" i="2" s="1"/>
  <c r="I27" i="2"/>
  <c r="D23" i="2" s="1"/>
  <c r="E23" i="2" s="1"/>
  <c r="I26" i="2"/>
  <c r="D27" i="2" s="1"/>
  <c r="E27" i="2" s="1"/>
  <c r="I25" i="2"/>
  <c r="D26" i="2" s="1"/>
  <c r="E26" i="2" s="1"/>
  <c r="I24" i="2"/>
  <c r="D25" i="2" s="1"/>
  <c r="E25" i="2" s="1"/>
  <c r="I22" i="2"/>
  <c r="D22" i="2" s="1"/>
  <c r="B28" i="2"/>
  <c r="R18" i="2"/>
  <c r="Q18" i="2"/>
  <c r="P18" i="2"/>
  <c r="O18" i="2"/>
  <c r="N18" i="2"/>
  <c r="M18" i="2"/>
  <c r="L18" i="2"/>
  <c r="K18" i="2"/>
  <c r="J18" i="2"/>
  <c r="I8" i="2"/>
  <c r="I9" i="2"/>
  <c r="I10" i="2"/>
  <c r="I11" i="2"/>
  <c r="I12" i="2"/>
  <c r="I13" i="2"/>
  <c r="I14" i="2"/>
  <c r="I15" i="2"/>
  <c r="I16" i="2"/>
  <c r="I17" i="2"/>
  <c r="B18" i="2"/>
  <c r="K28" i="2" l="1"/>
  <c r="I28" i="2"/>
  <c r="D15" i="2"/>
  <c r="E15" i="2" s="1"/>
  <c r="D12" i="2"/>
  <c r="E12" i="2" s="1"/>
  <c r="D11" i="2"/>
  <c r="E11" i="2" s="1"/>
  <c r="D17" i="2"/>
  <c r="E17" i="2" s="1"/>
  <c r="D14" i="2"/>
  <c r="E14" i="2" s="1"/>
  <c r="D10" i="2"/>
  <c r="E10" i="2" s="1"/>
  <c r="D8" i="2"/>
  <c r="E8" i="2" s="1"/>
  <c r="D13" i="2"/>
  <c r="E13" i="2" s="1"/>
  <c r="D16" i="2"/>
  <c r="E16" i="2" s="1"/>
  <c r="D23" i="3"/>
  <c r="S16" i="3"/>
  <c r="I16" i="3"/>
  <c r="E16" i="3"/>
  <c r="D16" i="3"/>
  <c r="D17" i="3" s="1"/>
  <c r="D28" i="2"/>
  <c r="E22" i="2"/>
  <c r="E28" i="2" s="1"/>
  <c r="I18" i="2"/>
  <c r="D9" i="2"/>
  <c r="R4" i="2"/>
  <c r="Q4" i="2"/>
  <c r="P4" i="2"/>
  <c r="O4" i="2"/>
  <c r="N4" i="2"/>
  <c r="M4" i="2"/>
  <c r="L4" i="2"/>
  <c r="K4" i="2"/>
  <c r="J4" i="2"/>
  <c r="B4" i="2"/>
  <c r="I3" i="2"/>
  <c r="D3" i="2" s="1"/>
  <c r="E3" i="2" s="1"/>
  <c r="I2" i="2"/>
  <c r="D2" i="2" s="1"/>
  <c r="E208" i="1"/>
  <c r="J200" i="1"/>
  <c r="D196" i="1"/>
  <c r="E196" i="1" s="1"/>
  <c r="D195" i="1"/>
  <c r="E195" i="1" s="1"/>
  <c r="R208" i="1"/>
  <c r="Q208" i="1"/>
  <c r="P208" i="1"/>
  <c r="O208" i="1"/>
  <c r="N208" i="1"/>
  <c r="M208" i="1"/>
  <c r="L208" i="1"/>
  <c r="K208" i="1"/>
  <c r="J208" i="1"/>
  <c r="I207" i="1"/>
  <c r="D203" i="1" s="1"/>
  <c r="E203" i="1" s="1"/>
  <c r="I206" i="1"/>
  <c r="D201" i="1" s="1"/>
  <c r="E201" i="1" s="1"/>
  <c r="I205" i="1"/>
  <c r="D200" i="1" s="1"/>
  <c r="E200" i="1" s="1"/>
  <c r="I204" i="1"/>
  <c r="D199" i="1" s="1"/>
  <c r="E199" i="1" s="1"/>
  <c r="I203" i="1"/>
  <c r="I202" i="1"/>
  <c r="D194" i="1" s="1"/>
  <c r="E194" i="1" s="1"/>
  <c r="I201" i="1"/>
  <c r="D206" i="1" s="1"/>
  <c r="E206" i="1" s="1"/>
  <c r="I200" i="1"/>
  <c r="D192" i="1" s="1"/>
  <c r="E192" i="1" s="1"/>
  <c r="I199" i="1"/>
  <c r="I198" i="1"/>
  <c r="D191" i="1" s="1"/>
  <c r="E191" i="1" s="1"/>
  <c r="I197" i="1"/>
  <c r="D207" i="1" s="1"/>
  <c r="E207" i="1" s="1"/>
  <c r="I196" i="1"/>
  <c r="D205" i="1" s="1"/>
  <c r="E205" i="1" s="1"/>
  <c r="I195" i="1"/>
  <c r="D204" i="1" s="1"/>
  <c r="E204" i="1" s="1"/>
  <c r="I194" i="1"/>
  <c r="D202" i="1" s="1"/>
  <c r="E202" i="1" s="1"/>
  <c r="I193" i="1"/>
  <c r="D198" i="1" s="1"/>
  <c r="E198" i="1" s="1"/>
  <c r="I192" i="1"/>
  <c r="D197" i="1" s="1"/>
  <c r="E197" i="1" s="1"/>
  <c r="I191" i="1"/>
  <c r="D193" i="1" s="1"/>
  <c r="E193" i="1" s="1"/>
  <c r="S188" i="1"/>
  <c r="T188" i="1" s="1"/>
  <c r="D189" i="1"/>
  <c r="D184" i="1"/>
  <c r="E184" i="1" s="1"/>
  <c r="D183" i="1"/>
  <c r="E183" i="1" s="1"/>
  <c r="D158" i="1"/>
  <c r="E158" i="1" s="1"/>
  <c r="D157" i="1"/>
  <c r="E157" i="1" s="1"/>
  <c r="I187" i="1"/>
  <c r="D186" i="1" s="1"/>
  <c r="E186" i="1" s="1"/>
  <c r="I186" i="1"/>
  <c r="D185" i="1" s="1"/>
  <c r="E185" i="1" s="1"/>
  <c r="I185" i="1"/>
  <c r="I184" i="1"/>
  <c r="I183" i="1"/>
  <c r="D182" i="1" s="1"/>
  <c r="E182" i="1" s="1"/>
  <c r="I182" i="1"/>
  <c r="D181" i="1" s="1"/>
  <c r="E181" i="1" s="1"/>
  <c r="I181" i="1"/>
  <c r="D180" i="1" s="1"/>
  <c r="E180" i="1" s="1"/>
  <c r="I180" i="1"/>
  <c r="D179" i="1" s="1"/>
  <c r="E179" i="1" s="1"/>
  <c r="I179" i="1"/>
  <c r="D178" i="1" s="1"/>
  <c r="E178" i="1" s="1"/>
  <c r="I178" i="1"/>
  <c r="D177" i="1" s="1"/>
  <c r="E177" i="1" s="1"/>
  <c r="I177" i="1"/>
  <c r="D176" i="1" s="1"/>
  <c r="E176" i="1" s="1"/>
  <c r="I176" i="1"/>
  <c r="D175" i="1" s="1"/>
  <c r="E175" i="1" s="1"/>
  <c r="I175" i="1"/>
  <c r="D173" i="1" s="1"/>
  <c r="E173" i="1" s="1"/>
  <c r="I174" i="1"/>
  <c r="D172" i="1" s="1"/>
  <c r="E172" i="1" s="1"/>
  <c r="I173" i="1"/>
  <c r="D171" i="1" s="1"/>
  <c r="E171" i="1" s="1"/>
  <c r="I172" i="1"/>
  <c r="D170" i="1" s="1"/>
  <c r="E170" i="1" s="1"/>
  <c r="I171" i="1"/>
  <c r="D168" i="1" s="1"/>
  <c r="E168" i="1" s="1"/>
  <c r="I170" i="1"/>
  <c r="D167" i="1" s="1"/>
  <c r="E167" i="1" s="1"/>
  <c r="I169" i="1"/>
  <c r="D166" i="1" s="1"/>
  <c r="E166" i="1" s="1"/>
  <c r="I168" i="1"/>
  <c r="D165" i="1" s="1"/>
  <c r="E165" i="1" s="1"/>
  <c r="I167" i="1"/>
  <c r="D164" i="1" s="1"/>
  <c r="E164" i="1" s="1"/>
  <c r="I166" i="1"/>
  <c r="D163" i="1" s="1"/>
  <c r="E163" i="1" s="1"/>
  <c r="I165" i="1"/>
  <c r="D162" i="1" s="1"/>
  <c r="E162" i="1" s="1"/>
  <c r="I164" i="1"/>
  <c r="D161" i="1" s="1"/>
  <c r="E161" i="1" s="1"/>
  <c r="I163" i="1"/>
  <c r="D160" i="1" s="1"/>
  <c r="E160" i="1" s="1"/>
  <c r="I162" i="1"/>
  <c r="I161" i="1"/>
  <c r="I160" i="1"/>
  <c r="D156" i="1" s="1"/>
  <c r="E156" i="1" s="1"/>
  <c r="I159" i="1"/>
  <c r="D155" i="1" s="1"/>
  <c r="E155" i="1" s="1"/>
  <c r="I158" i="1"/>
  <c r="D154" i="1" s="1"/>
  <c r="E154" i="1" s="1"/>
  <c r="I157" i="1"/>
  <c r="D153" i="1" s="1"/>
  <c r="E153" i="1" s="1"/>
  <c r="I156" i="1"/>
  <c r="D152" i="1" s="1"/>
  <c r="E152" i="1" s="1"/>
  <c r="I155" i="1"/>
  <c r="D151" i="1" s="1"/>
  <c r="E151" i="1" s="1"/>
  <c r="I154" i="1"/>
  <c r="D187" i="1" s="1"/>
  <c r="E187" i="1" s="1"/>
  <c r="I153" i="1"/>
  <c r="D174" i="1" s="1"/>
  <c r="E174" i="1" s="1"/>
  <c r="I152" i="1"/>
  <c r="D159" i="1" s="1"/>
  <c r="E159" i="1" s="1"/>
  <c r="I151" i="1"/>
  <c r="D149" i="1" s="1"/>
  <c r="E149" i="1" s="1"/>
  <c r="I150" i="1"/>
  <c r="D150" i="1" s="1"/>
  <c r="E150" i="1" s="1"/>
  <c r="I149" i="1"/>
  <c r="D148" i="1" s="1"/>
  <c r="E148" i="1" s="1"/>
  <c r="I148" i="1"/>
  <c r="D169" i="1" s="1"/>
  <c r="E169" i="1" s="1"/>
  <c r="B145" i="1"/>
  <c r="R145" i="1"/>
  <c r="Q145" i="1"/>
  <c r="P145" i="1"/>
  <c r="O145" i="1"/>
  <c r="N145" i="1"/>
  <c r="M145" i="1"/>
  <c r="L145" i="1"/>
  <c r="K145" i="1"/>
  <c r="J145" i="1"/>
  <c r="I144" i="1"/>
  <c r="D144" i="1" s="1"/>
  <c r="E144" i="1" s="1"/>
  <c r="I143" i="1"/>
  <c r="D138" i="1" s="1"/>
  <c r="E138" i="1" s="1"/>
  <c r="I142" i="1"/>
  <c r="D133" i="1" s="1"/>
  <c r="E133" i="1" s="1"/>
  <c r="I141" i="1"/>
  <c r="D125" i="1" s="1"/>
  <c r="E125" i="1" s="1"/>
  <c r="I140" i="1"/>
  <c r="D117" i="1" s="1"/>
  <c r="E117" i="1" s="1"/>
  <c r="I139" i="1"/>
  <c r="D114" i="1" s="1"/>
  <c r="E114" i="1" s="1"/>
  <c r="I138" i="1"/>
  <c r="D112" i="1" s="1"/>
  <c r="E112" i="1" s="1"/>
  <c r="I137" i="1"/>
  <c r="D141" i="1" s="1"/>
  <c r="E141" i="1" s="1"/>
  <c r="I136" i="1"/>
  <c r="D132" i="1" s="1"/>
  <c r="E132" i="1" s="1"/>
  <c r="I135" i="1"/>
  <c r="D122" i="1" s="1"/>
  <c r="E122" i="1" s="1"/>
  <c r="I134" i="1"/>
  <c r="D143" i="1" s="1"/>
  <c r="E143" i="1" s="1"/>
  <c r="I133" i="1"/>
  <c r="D142" i="1" s="1"/>
  <c r="E142" i="1" s="1"/>
  <c r="I132" i="1"/>
  <c r="D140" i="1" s="1"/>
  <c r="E140" i="1" s="1"/>
  <c r="I131" i="1"/>
  <c r="D136" i="1" s="1"/>
  <c r="E136" i="1" s="1"/>
  <c r="I130" i="1"/>
  <c r="D135" i="1" s="1"/>
  <c r="E135" i="1" s="1"/>
  <c r="I129" i="1"/>
  <c r="D134" i="1" s="1"/>
  <c r="E134" i="1" s="1"/>
  <c r="I128" i="1"/>
  <c r="D131" i="1" s="1"/>
  <c r="E131" i="1" s="1"/>
  <c r="I127" i="1"/>
  <c r="D130" i="1" s="1"/>
  <c r="E130" i="1" s="1"/>
  <c r="I126" i="1"/>
  <c r="D129" i="1" s="1"/>
  <c r="E129" i="1" s="1"/>
  <c r="I125" i="1"/>
  <c r="D128" i="1" s="1"/>
  <c r="E128" i="1" s="1"/>
  <c r="I124" i="1"/>
  <c r="D127" i="1" s="1"/>
  <c r="E127" i="1" s="1"/>
  <c r="I123" i="1"/>
  <c r="D124" i="1" s="1"/>
  <c r="E124" i="1" s="1"/>
  <c r="I122" i="1"/>
  <c r="D123" i="1" s="1"/>
  <c r="E123" i="1" s="1"/>
  <c r="I121" i="1"/>
  <c r="D121" i="1" s="1"/>
  <c r="E121" i="1" s="1"/>
  <c r="I120" i="1"/>
  <c r="D120" i="1" s="1"/>
  <c r="E120" i="1" s="1"/>
  <c r="I119" i="1"/>
  <c r="D118" i="1" s="1"/>
  <c r="E118" i="1" s="1"/>
  <c r="I118" i="1"/>
  <c r="D111" i="1" s="1"/>
  <c r="E111" i="1" s="1"/>
  <c r="I117" i="1"/>
  <c r="D110" i="1" s="1"/>
  <c r="E110" i="1" s="1"/>
  <c r="I116" i="1"/>
  <c r="D139" i="1" s="1"/>
  <c r="E139" i="1" s="1"/>
  <c r="I115" i="1"/>
  <c r="D137" i="1" s="1"/>
  <c r="E137" i="1" s="1"/>
  <c r="I114" i="1"/>
  <c r="D126" i="1" s="1"/>
  <c r="E126" i="1" s="1"/>
  <c r="I113" i="1"/>
  <c r="D119" i="1" s="1"/>
  <c r="E119" i="1" s="1"/>
  <c r="I112" i="1"/>
  <c r="D116" i="1" s="1"/>
  <c r="E116" i="1" s="1"/>
  <c r="I111" i="1"/>
  <c r="D115" i="1" s="1"/>
  <c r="E115" i="1" s="1"/>
  <c r="I110" i="1"/>
  <c r="D113" i="1" s="1"/>
  <c r="E113" i="1" s="1"/>
  <c r="I109" i="1"/>
  <c r="D109" i="1" s="1"/>
  <c r="E109" i="1" s="1"/>
  <c r="P7" i="1"/>
  <c r="I7" i="1" s="1"/>
  <c r="D32" i="1" s="1"/>
  <c r="E32" i="1" s="1"/>
  <c r="J6" i="1"/>
  <c r="I6" i="1" s="1"/>
  <c r="D29" i="1" s="1"/>
  <c r="E29" i="1" s="1"/>
  <c r="C106" i="1"/>
  <c r="B106" i="1"/>
  <c r="I105" i="1"/>
  <c r="D81" i="1" s="1"/>
  <c r="E81" i="1" s="1"/>
  <c r="I104" i="1"/>
  <c r="D30" i="1" s="1"/>
  <c r="E30" i="1" s="1"/>
  <c r="I103" i="1"/>
  <c r="D78" i="1" s="1"/>
  <c r="E78" i="1" s="1"/>
  <c r="I102" i="1"/>
  <c r="D102" i="1" s="1"/>
  <c r="E102" i="1" s="1"/>
  <c r="I101" i="1"/>
  <c r="D100" i="1" s="1"/>
  <c r="E100" i="1" s="1"/>
  <c r="I100" i="1"/>
  <c r="D99" i="1" s="1"/>
  <c r="E99" i="1" s="1"/>
  <c r="I99" i="1"/>
  <c r="D95" i="1" s="1"/>
  <c r="E95" i="1" s="1"/>
  <c r="I98" i="1"/>
  <c r="D94" i="1" s="1"/>
  <c r="E94" i="1" s="1"/>
  <c r="I97" i="1"/>
  <c r="D93" i="1" s="1"/>
  <c r="E93" i="1" s="1"/>
  <c r="I96" i="1"/>
  <c r="D92" i="1" s="1"/>
  <c r="E92" i="1" s="1"/>
  <c r="I95" i="1"/>
  <c r="D91" i="1" s="1"/>
  <c r="E91" i="1" s="1"/>
  <c r="I94" i="1"/>
  <c r="D90" i="1" s="1"/>
  <c r="E90" i="1" s="1"/>
  <c r="I93" i="1"/>
  <c r="D89" i="1" s="1"/>
  <c r="E89" i="1" s="1"/>
  <c r="I92" i="1"/>
  <c r="D88" i="1" s="1"/>
  <c r="E88" i="1" s="1"/>
  <c r="I91" i="1"/>
  <c r="D87" i="1" s="1"/>
  <c r="E87" i="1" s="1"/>
  <c r="I90" i="1"/>
  <c r="D86" i="1" s="1"/>
  <c r="E86" i="1" s="1"/>
  <c r="I89" i="1"/>
  <c r="D85" i="1" s="1"/>
  <c r="E85" i="1" s="1"/>
  <c r="I88" i="1"/>
  <c r="D84" i="1" s="1"/>
  <c r="E84" i="1" s="1"/>
  <c r="I87" i="1"/>
  <c r="D83" i="1" s="1"/>
  <c r="E83" i="1" s="1"/>
  <c r="I86" i="1"/>
  <c r="D79" i="1" s="1"/>
  <c r="E79" i="1" s="1"/>
  <c r="I85" i="1"/>
  <c r="D77" i="1" s="1"/>
  <c r="E77" i="1" s="1"/>
  <c r="I84" i="1"/>
  <c r="D75" i="1" s="1"/>
  <c r="E75" i="1" s="1"/>
  <c r="I83" i="1"/>
  <c r="D74" i="1" s="1"/>
  <c r="E74" i="1" s="1"/>
  <c r="I82" i="1"/>
  <c r="D72" i="1" s="1"/>
  <c r="E72" i="1" s="1"/>
  <c r="I81" i="1"/>
  <c r="D70" i="1" s="1"/>
  <c r="E70" i="1" s="1"/>
  <c r="I80" i="1"/>
  <c r="D69" i="1" s="1"/>
  <c r="E69" i="1" s="1"/>
  <c r="I79" i="1"/>
  <c r="D68" i="1" s="1"/>
  <c r="E68" i="1" s="1"/>
  <c r="I78" i="1"/>
  <c r="D65" i="1" s="1"/>
  <c r="E65" i="1" s="1"/>
  <c r="I77" i="1"/>
  <c r="D64" i="1" s="1"/>
  <c r="E64" i="1" s="1"/>
  <c r="I76" i="1"/>
  <c r="D63" i="1" s="1"/>
  <c r="E63" i="1" s="1"/>
  <c r="I75" i="1"/>
  <c r="D62" i="1" s="1"/>
  <c r="E62" i="1" s="1"/>
  <c r="I74" i="1"/>
  <c r="D61" i="1" s="1"/>
  <c r="E61" i="1" s="1"/>
  <c r="I73" i="1"/>
  <c r="D59" i="1" s="1"/>
  <c r="E59" i="1" s="1"/>
  <c r="I72" i="1"/>
  <c r="D57" i="1" s="1"/>
  <c r="E57" i="1" s="1"/>
  <c r="I71" i="1"/>
  <c r="D56" i="1" s="1"/>
  <c r="E56" i="1" s="1"/>
  <c r="I70" i="1"/>
  <c r="D55" i="1" s="1"/>
  <c r="E55" i="1" s="1"/>
  <c r="I69" i="1"/>
  <c r="D54" i="1" s="1"/>
  <c r="E54" i="1" s="1"/>
  <c r="I68" i="1"/>
  <c r="D53" i="1" s="1"/>
  <c r="E53" i="1" s="1"/>
  <c r="I67" i="1"/>
  <c r="D49" i="1" s="1"/>
  <c r="E49" i="1" s="1"/>
  <c r="I66" i="1"/>
  <c r="D47" i="1" s="1"/>
  <c r="E47" i="1" s="1"/>
  <c r="I65" i="1"/>
  <c r="D46" i="1" s="1"/>
  <c r="E46" i="1" s="1"/>
  <c r="I64" i="1"/>
  <c r="D45" i="1" s="1"/>
  <c r="E45" i="1" s="1"/>
  <c r="I63" i="1"/>
  <c r="D44" i="1" s="1"/>
  <c r="E44" i="1" s="1"/>
  <c r="I62" i="1"/>
  <c r="D42" i="1" s="1"/>
  <c r="E42" i="1" s="1"/>
  <c r="I61" i="1"/>
  <c r="D41" i="1" s="1"/>
  <c r="E41" i="1" s="1"/>
  <c r="I60" i="1"/>
  <c r="D39" i="1" s="1"/>
  <c r="E39" i="1" s="1"/>
  <c r="I59" i="1"/>
  <c r="D38" i="1" s="1"/>
  <c r="E38" i="1" s="1"/>
  <c r="I58" i="1"/>
  <c r="D37" i="1" s="1"/>
  <c r="E37" i="1" s="1"/>
  <c r="I57" i="1"/>
  <c r="D36" i="1" s="1"/>
  <c r="E36" i="1" s="1"/>
  <c r="I56" i="1"/>
  <c r="D34" i="1" s="1"/>
  <c r="E34" i="1" s="1"/>
  <c r="I55" i="1"/>
  <c r="D33" i="1" s="1"/>
  <c r="E33" i="1" s="1"/>
  <c r="I54" i="1"/>
  <c r="D31" i="1" s="1"/>
  <c r="E31" i="1" s="1"/>
  <c r="I53" i="1"/>
  <c r="D28" i="1" s="1"/>
  <c r="E28" i="1" s="1"/>
  <c r="I52" i="1"/>
  <c r="D27" i="1" s="1"/>
  <c r="E27" i="1" s="1"/>
  <c r="I51" i="1"/>
  <c r="D26" i="1" s="1"/>
  <c r="E26" i="1" s="1"/>
  <c r="I50" i="1"/>
  <c r="D24" i="1" s="1"/>
  <c r="E24" i="1" s="1"/>
  <c r="I49" i="1"/>
  <c r="D23" i="1" s="1"/>
  <c r="E23" i="1" s="1"/>
  <c r="I48" i="1"/>
  <c r="D22" i="1" s="1"/>
  <c r="E22" i="1" s="1"/>
  <c r="I47" i="1"/>
  <c r="D21" i="1" s="1"/>
  <c r="E21" i="1" s="1"/>
  <c r="I46" i="1"/>
  <c r="D19" i="1" s="1"/>
  <c r="E19" i="1" s="1"/>
  <c r="I45" i="1"/>
  <c r="D18" i="1" s="1"/>
  <c r="E18" i="1" s="1"/>
  <c r="I44" i="1"/>
  <c r="D17" i="1" s="1"/>
  <c r="E17" i="1" s="1"/>
  <c r="I43" i="1"/>
  <c r="D16" i="1" s="1"/>
  <c r="E16" i="1" s="1"/>
  <c r="I42" i="1"/>
  <c r="D14" i="1" s="1"/>
  <c r="E14" i="1" s="1"/>
  <c r="I41" i="1"/>
  <c r="D13" i="1" s="1"/>
  <c r="E13" i="1" s="1"/>
  <c r="I40" i="1"/>
  <c r="D12" i="1" s="1"/>
  <c r="E12" i="1" s="1"/>
  <c r="I39" i="1"/>
  <c r="D10" i="1" s="1"/>
  <c r="E10" i="1" s="1"/>
  <c r="I38" i="1"/>
  <c r="D9" i="1" s="1"/>
  <c r="E9" i="1" s="1"/>
  <c r="I37" i="1"/>
  <c r="D8" i="1" s="1"/>
  <c r="E8" i="1" s="1"/>
  <c r="I36" i="1"/>
  <c r="D7" i="1" s="1"/>
  <c r="E7" i="1" s="1"/>
  <c r="I35" i="1"/>
  <c r="D6" i="1" s="1"/>
  <c r="E6" i="1" s="1"/>
  <c r="I34" i="1"/>
  <c r="D5" i="1" s="1"/>
  <c r="E5" i="1" s="1"/>
  <c r="I33" i="1"/>
  <c r="D4" i="1" s="1"/>
  <c r="E4" i="1" s="1"/>
  <c r="I32" i="1"/>
  <c r="D3" i="1" s="1"/>
  <c r="E3" i="1" s="1"/>
  <c r="I31" i="1"/>
  <c r="D2" i="1" s="1"/>
  <c r="E2" i="1" s="1"/>
  <c r="I30" i="1"/>
  <c r="D105" i="1" s="1"/>
  <c r="E105" i="1" s="1"/>
  <c r="I29" i="1"/>
  <c r="D104" i="1" s="1"/>
  <c r="E104" i="1" s="1"/>
  <c r="I28" i="1"/>
  <c r="D103" i="1" s="1"/>
  <c r="E103" i="1" s="1"/>
  <c r="I27" i="1"/>
  <c r="D101" i="1" s="1"/>
  <c r="E101" i="1" s="1"/>
  <c r="I26" i="1"/>
  <c r="D98" i="1" s="1"/>
  <c r="E98" i="1" s="1"/>
  <c r="I25" i="1"/>
  <c r="D97" i="1" s="1"/>
  <c r="E97" i="1" s="1"/>
  <c r="I24" i="1"/>
  <c r="D96" i="1" s="1"/>
  <c r="E96" i="1" s="1"/>
  <c r="I23" i="1"/>
  <c r="D82" i="1" s="1"/>
  <c r="E82" i="1" s="1"/>
  <c r="I22" i="1"/>
  <c r="D80" i="1" s="1"/>
  <c r="E80" i="1" s="1"/>
  <c r="I21" i="1"/>
  <c r="D76" i="1" s="1"/>
  <c r="E76" i="1" s="1"/>
  <c r="I20" i="1"/>
  <c r="D73" i="1" s="1"/>
  <c r="E73" i="1" s="1"/>
  <c r="I19" i="1"/>
  <c r="D71" i="1" s="1"/>
  <c r="E71" i="1" s="1"/>
  <c r="I18" i="1"/>
  <c r="D67" i="1" s="1"/>
  <c r="E67" i="1" s="1"/>
  <c r="I17" i="1"/>
  <c r="D66" i="1" s="1"/>
  <c r="E66" i="1" s="1"/>
  <c r="I16" i="1"/>
  <c r="D60" i="1" s="1"/>
  <c r="E60" i="1" s="1"/>
  <c r="I15" i="1"/>
  <c r="D58" i="1" s="1"/>
  <c r="E58" i="1" s="1"/>
  <c r="I14" i="1"/>
  <c r="D52" i="1" s="1"/>
  <c r="E52" i="1" s="1"/>
  <c r="I13" i="1"/>
  <c r="D51" i="1" s="1"/>
  <c r="E51" i="1" s="1"/>
  <c r="I12" i="1"/>
  <c r="D50" i="1" s="1"/>
  <c r="E50" i="1" s="1"/>
  <c r="I11" i="1"/>
  <c r="D48" i="1" s="1"/>
  <c r="E48" i="1" s="1"/>
  <c r="I10" i="1"/>
  <c r="D43" i="1" s="1"/>
  <c r="E43" i="1" s="1"/>
  <c r="I9" i="1"/>
  <c r="D40" i="1" s="1"/>
  <c r="E40" i="1" s="1"/>
  <c r="I8" i="1"/>
  <c r="D35" i="1" s="1"/>
  <c r="E35" i="1" s="1"/>
  <c r="I5" i="1"/>
  <c r="D25" i="1" s="1"/>
  <c r="E25" i="1" s="1"/>
  <c r="I4" i="1"/>
  <c r="D20" i="1" s="1"/>
  <c r="E20" i="1" s="1"/>
  <c r="I3" i="1"/>
  <c r="D15" i="1" s="1"/>
  <c r="E15" i="1" s="1"/>
  <c r="I2" i="1"/>
  <c r="D11" i="1" s="1"/>
  <c r="E11" i="1" s="1"/>
  <c r="S28" i="2" l="1"/>
  <c r="T16" i="3"/>
  <c r="E9" i="2"/>
  <c r="E18" i="2" s="1"/>
  <c r="D18" i="2"/>
  <c r="D4" i="2"/>
  <c r="I4" i="2"/>
  <c r="E2" i="2"/>
  <c r="E4" i="2" s="1"/>
  <c r="I208" i="1"/>
  <c r="S145" i="1"/>
  <c r="E145" i="1"/>
  <c r="D145" i="1"/>
  <c r="I145" i="1"/>
  <c r="E106" i="1"/>
  <c r="D106" i="1"/>
  <c r="T145" i="1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<sst xmlns="http://schemas.openxmlformats.org/spreadsheetml/2006/main" count="2503" uniqueCount="418">
  <si>
    <t>Pending Bills</t>
  </si>
  <si>
    <t>(&lt; 15 days )</t>
  </si>
  <si>
    <t>15 to 30 days</t>
  </si>
  <si>
    <t>30 to 45 days</t>
  </si>
  <si>
    <t>45 to 60 days</t>
  </si>
  <si>
    <t>60 to 90 days</t>
  </si>
  <si>
    <t>90 to 180 days</t>
  </si>
  <si>
    <t>180 to 365 days</t>
  </si>
  <si>
    <t>365 to 730 days</t>
  </si>
  <si>
    <t>(&gt; 730 days )</t>
  </si>
  <si>
    <t>Debit</t>
  </si>
  <si>
    <t>Direct - Active</t>
  </si>
  <si>
    <t>Chowdayya Poultry Farms Malavalli</t>
  </si>
  <si>
    <t>G.P.P.Poultry Farm</t>
  </si>
  <si>
    <t>Javare Gowda Dairy Farm</t>
  </si>
  <si>
    <t>Jogi Gowda Poultry Farm</t>
  </si>
  <si>
    <t>K G Satya Poultry Farm</t>
  </si>
  <si>
    <t>Krishna Poultry Farm</t>
  </si>
  <si>
    <t>Kumar Poultry Farm</t>
  </si>
  <si>
    <t>Muralidhar Poultry Farm</t>
  </si>
  <si>
    <t>Nandish Poultry Farm Mandya</t>
  </si>
  <si>
    <t>Poonacha PB</t>
  </si>
  <si>
    <t>Prasanan Kumar Poultry Farm</t>
  </si>
  <si>
    <t>Prasanna Pig Farm</t>
  </si>
  <si>
    <t>Prathapa Poultry Farm</t>
  </si>
  <si>
    <t>Rajatha Poultry Farm</t>
  </si>
  <si>
    <t>Ramesh Poultry Farms</t>
  </si>
  <si>
    <t>Sanjaya.K Poultry Farm</t>
  </si>
  <si>
    <t>Sanjay S, Veterinary College Hebbal</t>
  </si>
  <si>
    <t>Sathish Poultry Farm ,Maddur</t>
  </si>
  <si>
    <t>Sharath Poultry Farm</t>
  </si>
  <si>
    <t>Siddaramu Dairy Farm Kodyala</t>
  </si>
  <si>
    <t>Sree Lakshmi Ranganatha Poultry Farm &amp; Services</t>
  </si>
  <si>
    <t>Sridhar Poultry Farm - Nagamangala</t>
  </si>
  <si>
    <t>Tilk Poultry Farm</t>
  </si>
  <si>
    <t>Udaya Poultry Farm</t>
  </si>
  <si>
    <t>Varadaraj Poultry Farm</t>
  </si>
  <si>
    <t>Veteran Laboratories</t>
  </si>
  <si>
    <t>Veterinary Collage Hebbal</t>
  </si>
  <si>
    <t>Vishwanatha Poultry Farm</t>
  </si>
  <si>
    <t>V N Poultry Farm</t>
  </si>
  <si>
    <t>Direct - Inactive</t>
  </si>
  <si>
    <t>Abhishek Poultry Farm K Shetthali</t>
  </si>
  <si>
    <t>Akash Pig Farm</t>
  </si>
  <si>
    <t>Amol Pig Farm</t>
  </si>
  <si>
    <t>Ananya Poultry Farm &amp; Supplies</t>
  </si>
  <si>
    <t xml:space="preserve">Ashok Poultry Farm_x000D_
</t>
  </si>
  <si>
    <t>Associate Professor Dept.of ILFC Dairy</t>
  </si>
  <si>
    <t>Bandipura Breeders, Mysore</t>
  </si>
  <si>
    <t>BJS Poultry Farm</t>
  </si>
  <si>
    <t>Chaluvaraya Swamy Poultry Farm,Channapatna</t>
  </si>
  <si>
    <t>Deeksha Vet Medicals</t>
  </si>
  <si>
    <t>Devapriya Foods &amp; Feeds,Honnavara</t>
  </si>
  <si>
    <t>Devaraja Poultry Farm</t>
  </si>
  <si>
    <t>Gurunatha Poultry Farm</t>
  </si>
  <si>
    <t>Happy Chicken Centre</t>
  </si>
  <si>
    <t>Harish Poultry Farm- Mandya</t>
  </si>
  <si>
    <t>Hunter Chicken &amp; Eggs India (OPC) Pvt Ltd</t>
  </si>
  <si>
    <t>Jayalinga Poultry Farm</t>
  </si>
  <si>
    <t>Jayanthi Associates, Kannur</t>
  </si>
  <si>
    <t xml:space="preserve">Jayaraju Poultry Farm_x000D_
</t>
  </si>
  <si>
    <t>J K Pig Farm, Chllakere</t>
  </si>
  <si>
    <t>Jyothi Poultry Farm</t>
  </si>
  <si>
    <t>Kannadiga Poultry Farm</t>
  </si>
  <si>
    <t>Kempanna Poultry Farm</t>
  </si>
  <si>
    <t>Krishna Murthy Labour</t>
  </si>
  <si>
    <t>Krishnappa</t>
  </si>
  <si>
    <t>Krushie Kushie C/O Rakshitha</t>
  </si>
  <si>
    <t>Lalitha Farm, Kadur</t>
  </si>
  <si>
    <t>Madduramma Poultry Farm</t>
  </si>
  <si>
    <t>Megha Poultry Farm</t>
  </si>
  <si>
    <t>M.Nataraja S/O M.R.Muniswamy</t>
  </si>
  <si>
    <t>Murali Pig Farm</t>
  </si>
  <si>
    <t>Nandan Agencies</t>
  </si>
  <si>
    <t>Narayana Poultry Farm</t>
  </si>
  <si>
    <t>Nellukkarans Foods &amp; Feeds Pvt Ltd</t>
  </si>
  <si>
    <t>Ningappa Poultry Farm</t>
  </si>
  <si>
    <t>Ningaraju Poultry Farm</t>
  </si>
  <si>
    <t>Pramod Kumar.C Poultry Farm</t>
  </si>
  <si>
    <t>Praveen Poultry Farm - Koppa</t>
  </si>
  <si>
    <t>Principal Investigator</t>
  </si>
  <si>
    <t>Puttaswamy Poultry Farm- Channapatna</t>
  </si>
  <si>
    <t>Quality Poultry Farms &amp; Feeds</t>
  </si>
  <si>
    <t>Raghavendra Poultry Farms</t>
  </si>
  <si>
    <t>Raju Poultry  Farm Mandya</t>
  </si>
  <si>
    <t>Ranjith Pig Farm</t>
  </si>
  <si>
    <t>Ravi Poultry Farm,K M Doddi</t>
  </si>
  <si>
    <t>Roopa Poultry Farm</t>
  </si>
  <si>
    <t>Sakshi Feeds &amp; Farms</t>
  </si>
  <si>
    <t>Sameer Khan Pf Maddur</t>
  </si>
  <si>
    <t>Santhosh PF</t>
  </si>
  <si>
    <t>Santhosh Poultry Farm</t>
  </si>
  <si>
    <t>S A Poultry Farm</t>
  </si>
  <si>
    <t>S.B.Agencies</t>
  </si>
  <si>
    <t>Shashi Poultry Farm</t>
  </si>
  <si>
    <t>Shree Harsha R</t>
  </si>
  <si>
    <t>S K Poultry Farm</t>
  </si>
  <si>
    <t>Spoorthy Poultry Farm</t>
  </si>
  <si>
    <t>Sri Lakshmi Poultry Farm</t>
  </si>
  <si>
    <t>Sri Sai Poultry Farm</t>
  </si>
  <si>
    <t>Sri Sai Ram Poultry Farm</t>
  </si>
  <si>
    <t>Sri Sharada Gunny Merchents</t>
  </si>
  <si>
    <t>Sri Surya Agency</t>
  </si>
  <si>
    <t>Sri Vigneshwara Poultry Services</t>
  </si>
  <si>
    <t>Sudha Poultry Farm</t>
  </si>
  <si>
    <t>Suma Poultry Farm</t>
  </si>
  <si>
    <t>Sumedha Broiler Farms</t>
  </si>
  <si>
    <t>Sumuka Enterprises</t>
  </si>
  <si>
    <t>Suraja Poultry Farm</t>
  </si>
  <si>
    <t>Suresh Poultry Farm - Hallegere</t>
  </si>
  <si>
    <t>Thammanna Poultry Feeds</t>
  </si>
  <si>
    <t>Vasavi Poultry Farm</t>
  </si>
  <si>
    <t>Venkateshwara Poultry Farm, Koppa</t>
  </si>
  <si>
    <t>Veterinary Collage</t>
  </si>
  <si>
    <t>Lavanya</t>
  </si>
  <si>
    <t>Buruju Gangamma Poultry Farm</t>
  </si>
  <si>
    <t>Mahendra</t>
  </si>
  <si>
    <t>SLV Poultry Farm</t>
  </si>
  <si>
    <t>Prabhakar</t>
  </si>
  <si>
    <t>KPR Agros Poultries Pvt Ltd</t>
  </si>
  <si>
    <t>Sree Sai Poultry Farm</t>
  </si>
  <si>
    <t>Grand Total</t>
  </si>
  <si>
    <t>ASM</t>
  </si>
  <si>
    <t>Mandya</t>
  </si>
  <si>
    <t>DBS</t>
  </si>
  <si>
    <t>Aavion Enterprises Drs</t>
  </si>
  <si>
    <t>CNC Poultry Farms &amp; Feeds</t>
  </si>
  <si>
    <t>Happy Feed &amp; Farms LLP</t>
  </si>
  <si>
    <t>Kabbalamma Poultry Farm</t>
  </si>
  <si>
    <t>Maruthi Poultry Farm</t>
  </si>
  <si>
    <t>Raghavendra Enterprises</t>
  </si>
  <si>
    <t>Srinivasa Poultry Farm-Nandi Cross</t>
  </si>
  <si>
    <t>Ajwa Poultry Feed</t>
  </si>
  <si>
    <t>Annapoorna Poultry Farm</t>
  </si>
  <si>
    <t>Krishna Poultry Farms, CPT</t>
  </si>
  <si>
    <t>Nimishamba Poultry Farm</t>
  </si>
  <si>
    <t>Premier Distributors</t>
  </si>
  <si>
    <t>Principal Investigator, Poultry Science</t>
  </si>
  <si>
    <t>Renuka Feeds</t>
  </si>
  <si>
    <t>Ruchi Agro Industries</t>
  </si>
  <si>
    <t>Sampath Kumar M K</t>
  </si>
  <si>
    <t>Sathish Feeds Chandapur</t>
  </si>
  <si>
    <t>Shakthi Hatcheries &amp; Feeds</t>
  </si>
  <si>
    <t>SR Agro Farms - Rajanakunte</t>
  </si>
  <si>
    <t>Sri Chamundeshwari Poultry Feeds</t>
  </si>
  <si>
    <t>Sri Nandi Feeds</t>
  </si>
  <si>
    <t>Sumukha Farm</t>
  </si>
  <si>
    <t>DR</t>
  </si>
  <si>
    <t>Utpala Live Stocks</t>
  </si>
  <si>
    <t>Pratham Distributors</t>
  </si>
  <si>
    <t>Shri Hiranyakeshi Feeds and Farms Pvt Ltd</t>
  </si>
  <si>
    <t>Sun Biotic</t>
  </si>
  <si>
    <t>Ashwatha Narayana Poultry Farm</t>
  </si>
  <si>
    <t>Hanumanthappa Poultry Farm</t>
  </si>
  <si>
    <t>Kadabageri Kotresh</t>
  </si>
  <si>
    <t>Radha Krishna Poultry Farm</t>
  </si>
  <si>
    <t>Shri Lakshmi Narasimha PF</t>
  </si>
  <si>
    <t>Sudarshan Poultry Farm</t>
  </si>
  <si>
    <t>Venkateshwara Poultry Farm - Harihara</t>
  </si>
  <si>
    <t xml:space="preserve">Dabaspet </t>
  </si>
  <si>
    <t>Hubli</t>
  </si>
  <si>
    <t>Akash Enterprises</t>
  </si>
  <si>
    <t>Ambika Poultry Farm</t>
  </si>
  <si>
    <t>GMI Poultry Foods</t>
  </si>
  <si>
    <t>Harsha Poultry Farm</t>
  </si>
  <si>
    <t>HKGN Poultry Farm</t>
  </si>
  <si>
    <t>Jeelan Poultry Farm</t>
  </si>
  <si>
    <t>Jyothi Poultry Farms</t>
  </si>
  <si>
    <t>Karnataka Poultry Farm</t>
  </si>
  <si>
    <t>Karthik Poultry Farm</t>
  </si>
  <si>
    <t>Kavya Traders</t>
  </si>
  <si>
    <t>Manikyam Poultry Farm</t>
  </si>
  <si>
    <t>Manju Poultry Farm</t>
  </si>
  <si>
    <t>Mega Country Chicken Farm</t>
  </si>
  <si>
    <t>MRM Poultry</t>
  </si>
  <si>
    <t>MSR &amp; Other Poultry Farm</t>
  </si>
  <si>
    <t>M/s sri GuruThipperdra swamy poultry farm</t>
  </si>
  <si>
    <t>Padmaja Farms</t>
  </si>
  <si>
    <t>Raghavendra Poultry Farm</t>
  </si>
  <si>
    <t>Ramakrishna Nayak</t>
  </si>
  <si>
    <t>Saadhanaa Poultry Farm</t>
  </si>
  <si>
    <t>Sahana Poultry Farm</t>
  </si>
  <si>
    <t>Sai Krupa Agencies</t>
  </si>
  <si>
    <t>Sandya Poultry Farm</t>
  </si>
  <si>
    <t xml:space="preserve">Savithri Poultry Farm_x000D_
</t>
  </si>
  <si>
    <t>Shashidhara Poultry Form</t>
  </si>
  <si>
    <t>Shri Vishnu Distributors</t>
  </si>
  <si>
    <t>Sree Kalleswara Poultry Farm</t>
  </si>
  <si>
    <t>Sree Ram Poultry Farm</t>
  </si>
  <si>
    <t>Sree Vinayaka Poultry Farm</t>
  </si>
  <si>
    <t>Sri Hamika Poultry Farm</t>
  </si>
  <si>
    <t>Sri Laxmi Poultry Farm</t>
  </si>
  <si>
    <t>Sri Madhu Poultry Farm</t>
  </si>
  <si>
    <t>Swathi Poultry Farm</t>
  </si>
  <si>
    <t>Venkatalakshmi Poultry Farm</t>
  </si>
  <si>
    <t>Yousuf Pf kaddirampur Hampi</t>
  </si>
  <si>
    <t>Dayananda</t>
  </si>
  <si>
    <t>G Chandra Sekhar</t>
  </si>
  <si>
    <t>Komarla</t>
  </si>
  <si>
    <t>Principal Investigator,Hebbal</t>
  </si>
  <si>
    <t>Professor and Head</t>
  </si>
  <si>
    <t>The Dean (Vety)</t>
  </si>
  <si>
    <t>Balaji Poultry Farm</t>
  </si>
  <si>
    <t>M/s Sri Guru Poultry Farm</t>
  </si>
  <si>
    <t>Shashidhara Poultry Form-Old-Prabhakar</t>
  </si>
  <si>
    <t>Sneha poultry farm</t>
  </si>
  <si>
    <t>Ranjith</t>
  </si>
  <si>
    <t>Hosur</t>
  </si>
  <si>
    <t>Jaya Kumar Poultry Farm</t>
  </si>
  <si>
    <t>Polachi</t>
  </si>
  <si>
    <t>Adarsh</t>
  </si>
  <si>
    <t>Haritha Agencies</t>
  </si>
  <si>
    <t>Royal Traders</t>
  </si>
  <si>
    <t>Nebu John</t>
  </si>
  <si>
    <t>Bismillah Feeds</t>
  </si>
  <si>
    <t>J K Agencies</t>
  </si>
  <si>
    <t>Matha Agencies</t>
  </si>
  <si>
    <t>MPM Agencies</t>
  </si>
  <si>
    <t>M S Feeds</t>
  </si>
  <si>
    <t>Quality Feeds</t>
  </si>
  <si>
    <t>Raja Kumar</t>
  </si>
  <si>
    <t>Rishan Exporters</t>
  </si>
  <si>
    <t>S I T Agencies</t>
  </si>
  <si>
    <t>Om Sai Ram</t>
  </si>
  <si>
    <t>Suguna</t>
  </si>
  <si>
    <t>Jamuna</t>
  </si>
  <si>
    <t>Kishan poultry society</t>
  </si>
  <si>
    <t>Lotus Enterprises</t>
  </si>
  <si>
    <t>Mallikharjuna Rao Poultry Farm</t>
  </si>
  <si>
    <t>M/s Excel Poultry</t>
  </si>
  <si>
    <t>Narender Reddy poultry farms</t>
  </si>
  <si>
    <t>Obulesh poultry Farm</t>
  </si>
  <si>
    <t>Shree Agencies</t>
  </si>
  <si>
    <t>Snehith Reddy Poultry And Feeds</t>
  </si>
  <si>
    <t>Sri Devi Poutry Farm, Narasaraopete</t>
  </si>
  <si>
    <t>Sri Laxmi Narasimha Poultry Farms</t>
  </si>
  <si>
    <t>Sri Parameshwari Broiler Poultry Farm &amp; Feeds</t>
  </si>
  <si>
    <t>Sri sreshta Poultries  and feed</t>
  </si>
  <si>
    <t>T Nadipi Gurrappa</t>
  </si>
  <si>
    <t>Vignan Organics</t>
  </si>
  <si>
    <t>Ashok</t>
  </si>
  <si>
    <t>Bandaru Balaji</t>
  </si>
  <si>
    <t>Karre Narasimha</t>
  </si>
  <si>
    <t>Laxmi Sai Breeding Farms Pvt Ltd</t>
  </si>
  <si>
    <t>N. Srinivas</t>
  </si>
  <si>
    <t>Seetharam</t>
  </si>
  <si>
    <t>Noveltech</t>
  </si>
  <si>
    <t>K P R fresh products</t>
  </si>
  <si>
    <t>Masthan Poultry Farms</t>
  </si>
  <si>
    <t>VJD</t>
  </si>
  <si>
    <t xml:space="preserve">A1 Fresh Chicken &amp; Poultry Centre _x000D_
</t>
  </si>
  <si>
    <t>Aarna Traders</t>
  </si>
  <si>
    <t>Abhayanjaneya Poultry Trader's</t>
  </si>
  <si>
    <t>Abhinay  Reddy Poultry Farm</t>
  </si>
  <si>
    <t>Ambarish Poultry Farm</t>
  </si>
  <si>
    <t>Anjali Enterprises</t>
  </si>
  <si>
    <t>Devi Prasuna Poultry Farm</t>
  </si>
  <si>
    <t>Dhanalakshmi poultry farm</t>
  </si>
  <si>
    <t xml:space="preserve">Green Valley Nutrition_x000D_
</t>
  </si>
  <si>
    <t xml:space="preserve">Honey Poultry Feeds_x000D_
</t>
  </si>
  <si>
    <t xml:space="preserve">K.R.Traders _x000D_
</t>
  </si>
  <si>
    <t>K Satya Padma Latha</t>
  </si>
  <si>
    <t>K V R Poultry Farm</t>
  </si>
  <si>
    <t>Lakshmi Narasimhaswamy Poultry Farm</t>
  </si>
  <si>
    <t>Lakshmi Poultry, Vadluru</t>
  </si>
  <si>
    <t>M Janaki Surya Narayana Raju</t>
  </si>
  <si>
    <t>MNVSN Raju Poultry Farm</t>
  </si>
  <si>
    <t>M Sathyavathi</t>
  </si>
  <si>
    <t xml:space="preserve">Nalini Poultry Farm_x000D_
</t>
  </si>
  <si>
    <t xml:space="preserve">NNR Associates _x000D_
</t>
  </si>
  <si>
    <t>Poorna Chandra Poultry Farm</t>
  </si>
  <si>
    <t>RKR Poultry Farm</t>
  </si>
  <si>
    <t>Sai Poultries</t>
  </si>
  <si>
    <t>S D  Reshma poultry farm</t>
  </si>
  <si>
    <t xml:space="preserve">Simhadri Srinivasa Rao _x000D_
</t>
  </si>
  <si>
    <t>Siva Poultries</t>
  </si>
  <si>
    <t>Siva Rama Poultry Farm</t>
  </si>
  <si>
    <t xml:space="preserve">Siva Sai Enterprises_x000D_
</t>
  </si>
  <si>
    <t>Sri Lakshmi Panduranga Poultry Farm</t>
  </si>
  <si>
    <t>Sri Lakshmi Srinivasa Poultries</t>
  </si>
  <si>
    <t>Srinivasa Poultry Farm, Chandrala</t>
  </si>
  <si>
    <t>Srinivasulareddy palakolanu</t>
  </si>
  <si>
    <t xml:space="preserve">Sri Sai Ram Poultry Feeds_x000D_
</t>
  </si>
  <si>
    <t>S V J Poultry Farm</t>
  </si>
  <si>
    <t xml:space="preserve">T.Vasu Poultry Farm_x000D_
</t>
  </si>
  <si>
    <t>Umamaheshwara Poultry Farm</t>
  </si>
  <si>
    <t>Venkateswara Rao Poultry Farm</t>
  </si>
  <si>
    <t>V Krishnam Raju Poultries</t>
  </si>
  <si>
    <t>VVS Muralidhara Poultry Farm</t>
  </si>
  <si>
    <t>Y Ranjth Kumar Poultry Farm</t>
  </si>
  <si>
    <t>Gouse</t>
  </si>
  <si>
    <t>Ravibabu</t>
  </si>
  <si>
    <t>Erode</t>
  </si>
  <si>
    <t>Kurikkal Chicken Wandoor</t>
  </si>
  <si>
    <t>Ras Traders</t>
  </si>
  <si>
    <t>Shakra Feeds &amp; Hatcheries</t>
  </si>
  <si>
    <t>Raghavendra</t>
  </si>
  <si>
    <t>Particulars</t>
  </si>
  <si>
    <t>Sum of Pending Bills</t>
  </si>
  <si>
    <t>Sum of (&lt; 15 days )</t>
  </si>
  <si>
    <t>Sum of 15 to 30 days</t>
  </si>
  <si>
    <t>Sum of 30 to 45 days</t>
  </si>
  <si>
    <t>Sum of 45 to 60 days</t>
  </si>
  <si>
    <t>Sum of 60 to 90 days</t>
  </si>
  <si>
    <t>Sum of 90 to 180 days</t>
  </si>
  <si>
    <t>Sum of 180 to 365 days</t>
  </si>
  <si>
    <t>Sum of 365 to 730 days</t>
  </si>
  <si>
    <t>Sum of (&gt; 730 days )</t>
  </si>
  <si>
    <t>(blank)</t>
  </si>
  <si>
    <t>ASM Name</t>
  </si>
  <si>
    <t>SD Ageing Report as of 31/07/2026</t>
  </si>
  <si>
    <t>Total</t>
  </si>
  <si>
    <t>SD Credit Balance as of 31st July 2026</t>
  </si>
  <si>
    <t>Credit</t>
  </si>
  <si>
    <t>A-One Poultry Feed</t>
  </si>
  <si>
    <t xml:space="preserve">Bharath Malnad Farms_x000D_
</t>
  </si>
  <si>
    <t>Komala Poultry</t>
  </si>
  <si>
    <t>M.A. Haji Poultry Farm</t>
  </si>
  <si>
    <t>SR Agro Farms</t>
  </si>
  <si>
    <t>Sri Krishna Sai Farms</t>
  </si>
  <si>
    <t>Sri Puradamma Poultry Feeds &amp; Form</t>
  </si>
  <si>
    <t>Sunbiotic Animal Health Pvt Ltd</t>
  </si>
  <si>
    <t>Masthan Poultry Farm</t>
  </si>
  <si>
    <t>M M Traders</t>
  </si>
  <si>
    <t>Siva Reddy Poultry Farm</t>
  </si>
  <si>
    <t>SJ Traders</t>
  </si>
  <si>
    <t>Krishna Agri Vet</t>
  </si>
  <si>
    <t>Nagendra Nayak</t>
  </si>
  <si>
    <t>Shakthiman Poultry Farm</t>
  </si>
  <si>
    <t>Gouthami Poultry Farm</t>
  </si>
  <si>
    <t>Mahadeva Poultry Farm</t>
  </si>
  <si>
    <t>Nandina Poultry Complex</t>
  </si>
  <si>
    <t>N Mallikharjunarao Poultry farm</t>
  </si>
  <si>
    <t>Prabhavathi Sunrice Poultry</t>
  </si>
  <si>
    <t>Samakka Sarakka Poultry farms</t>
  </si>
  <si>
    <t>Srinivasa Poultry Farm</t>
  </si>
  <si>
    <t>Sri Siddi  Vinayaka Agro Centre</t>
  </si>
  <si>
    <t>S S Poultry Farm</t>
  </si>
  <si>
    <t>Aditi Enterprises</t>
  </si>
  <si>
    <t>CKS Poultry Farm</t>
  </si>
  <si>
    <t>Slv Cattle Feeds</t>
  </si>
  <si>
    <t>Sri Lakshmi Narasimha Poultry &amp; Goat Farm</t>
  </si>
  <si>
    <t>Akash Poultry Farm</t>
  </si>
  <si>
    <t>Anilkumar Poultry Farm</t>
  </si>
  <si>
    <t xml:space="preserve">Byraveshwara Poultry &amp; Cattel Feeds _x000D_
</t>
  </si>
  <si>
    <t>Demo</t>
  </si>
  <si>
    <t>Harish Poultry Farm</t>
  </si>
  <si>
    <t>Maddur Taluk Koli Sakanike Raitra Sahakara Sangha</t>
  </si>
  <si>
    <t>Natural Remedies Pvt Ltd</t>
  </si>
  <si>
    <t>Natural Remedies Pvt Ltd, TN</t>
  </si>
  <si>
    <t>Pai Traders</t>
  </si>
  <si>
    <t>Ramalinge Gowda Poultry Farm</t>
  </si>
  <si>
    <t>Real Chicks Poultry</t>
  </si>
  <si>
    <t>Shivarudra Poultry Farm</t>
  </si>
  <si>
    <t>Sri Manjunatha Agencies</t>
  </si>
  <si>
    <t>Suguna Foods Private Limited  - Drs</t>
  </si>
  <si>
    <t>Thamana Poultry Farms</t>
  </si>
  <si>
    <t>Vinayaka Agencies</t>
  </si>
  <si>
    <t>Santhoshi Maa Farms</t>
  </si>
  <si>
    <t>Sri Manikanta Farms</t>
  </si>
  <si>
    <t>V. Laxma Reddy</t>
  </si>
  <si>
    <t>Perundurai</t>
  </si>
  <si>
    <t>Aerthayil Farms &amp; Feeds</t>
  </si>
  <si>
    <t>Bismi Chicken Farms</t>
  </si>
  <si>
    <t>harish Poultry Farm</t>
  </si>
  <si>
    <t>JJ Traders</t>
  </si>
  <si>
    <t>Ponssuvai Chicken</t>
  </si>
  <si>
    <t>Sakthi Poultry Feeds</t>
  </si>
  <si>
    <t>Ayaan Feeds</t>
  </si>
  <si>
    <t>Ideal Ventures</t>
  </si>
  <si>
    <t>Sakshi Poultry Feed &amp; Farms</t>
  </si>
  <si>
    <t>Sana Feeds</t>
  </si>
  <si>
    <t>S K R Trading</t>
  </si>
  <si>
    <t>VPF FEEDS</t>
  </si>
  <si>
    <t>Foodbank Feeds</t>
  </si>
  <si>
    <t>Ali poultry farms</t>
  </si>
  <si>
    <t>Bharat Poultry Farms</t>
  </si>
  <si>
    <t>Devi Poultry Farm</t>
  </si>
  <si>
    <t>G.V.Soma Raju Poultry Farm</t>
  </si>
  <si>
    <t>MDR Poultry Farm</t>
  </si>
  <si>
    <t>Nagabhushanarao Poultry Farm</t>
  </si>
  <si>
    <t>Nalluri phanikumar</t>
  </si>
  <si>
    <t xml:space="preserve">Nandini Poultry Farm _x000D_
</t>
  </si>
  <si>
    <t>N Subbarao</t>
  </si>
  <si>
    <t xml:space="preserve">Satyanarayana Poultries _x000D_
</t>
  </si>
  <si>
    <t>Sekhar poultry Farm</t>
  </si>
  <si>
    <t>Sribala Balaji Srinivasa PF</t>
  </si>
  <si>
    <t>Sri Devi Durga Poultry Farm</t>
  </si>
  <si>
    <t>Sri Gayathri Poultry Farm</t>
  </si>
  <si>
    <t>Sri Lakshmi Sai Poultry Farm</t>
  </si>
  <si>
    <t>Sri Sai Harsha Poultry Farm</t>
  </si>
  <si>
    <t>Sri Satya Poultries</t>
  </si>
  <si>
    <t>Sri Venkataramana poultries</t>
  </si>
  <si>
    <t xml:space="preserve">Sri Venkateshwara Poultry Farm_x000D_
</t>
  </si>
  <si>
    <t>Sri Venkateswara Poultry Farm</t>
  </si>
  <si>
    <t>Venkata Krishna Poultry Farms</t>
  </si>
  <si>
    <t>Venkateshwara Poultry Farm, Arathamuru</t>
  </si>
  <si>
    <t>Diamond</t>
  </si>
  <si>
    <t>S S Poultries</t>
  </si>
  <si>
    <t>Vivo Enterprises</t>
  </si>
  <si>
    <t>Row Labels</t>
  </si>
  <si>
    <t>Amount</t>
  </si>
  <si>
    <t>Sundry Debtors as of 31st July 2026</t>
  </si>
  <si>
    <t>Bal as on 30.06.2026</t>
  </si>
  <si>
    <t>Remarks on 07/07/2026</t>
  </si>
  <si>
    <t>Remarks on 06/07/2026</t>
  </si>
  <si>
    <t>Below 30 days by 31/07</t>
  </si>
  <si>
    <t>Bring below 150 and below 30 days</t>
  </si>
  <si>
    <t>12.5 L before Jul end.</t>
  </si>
  <si>
    <t>Wl collect before 10th Jul</t>
  </si>
  <si>
    <t>Recd 3 Lakhs balance within one Week and PDC</t>
  </si>
  <si>
    <t>Bal Conf Status</t>
  </si>
  <si>
    <t>Mode</t>
  </si>
  <si>
    <t>Received on</t>
  </si>
  <si>
    <t>Mail</t>
  </si>
  <si>
    <t>Whats App</t>
  </si>
  <si>
    <t>Hard Copy</t>
  </si>
  <si>
    <t>Hardcopy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</si>
</sst>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&quot;&quot;0"/>
    <numFmt numFmtId="165" formatCode="&quot;&quot;0.00"/>
    <numFmt numFmtId="166" formatCode="0.0"/>
    <numFmt numFmtId="167" formatCode="_ * #,##0.0_ ;_ * \-#,##0.0_ ;_ * &quot;-&quot;??_ ;_ @_ "/>
    <numFmt numFmtId="168" formatCode="_ * #,##0_ ;_ * \-#,##0_ ;_ * &quot;-&quot;??_ ;_ @_ 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1">
    <xf numFmtId="0" fontId="0" fillId="0" borderId="0" xfId="0"/>
    <xf numFmtId="49" fontId="2" fillId="0" borderId="1" xfId="0" applyNumberFormat="1" applyFont="1" applyBorder="1" applyAlignment="1">
      <alignment horizontal="left" vertical="top" indent="2"/>
    </xf>
    <xf numFmtId="49" fontId="1" fillId="0" borderId="2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left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165" fontId="3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/>
    </xf>
    <xf numFmtId="0" fontId="0" fillId="0" borderId="2" xfId="0" applyBorder="1"/>
    <xf numFmtId="165" fontId="2" fillId="0" borderId="2" xfId="0" applyNumberFormat="1" applyFont="1" applyBorder="1" applyAlignment="1">
      <alignment horizontal="right" vertical="top"/>
    </xf>
    <xf numFmtId="165" fontId="4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165" fontId="0" fillId="0" borderId="0" xfId="0" applyNumberFormat="1"/>
    <xf numFmtId="43" fontId="0" fillId="0" borderId="0" xfId="1" applyFont="1" applyAlignment="1"/>
    <xf numFmtId="2" fontId="0" fillId="0" borderId="0" xfId="0" applyNumberFormat="1"/>
    <xf numFmtId="49" fontId="2" fillId="0" borderId="2" xfId="0" applyNumberFormat="1" applyFont="1" applyBorder="1" applyAlignment="1">
      <alignment horizontal="left" vertical="top" indent="2"/>
    </xf>
    <xf numFmtId="49" fontId="1" fillId="0" borderId="3" xfId="0" applyNumberFormat="1" applyFont="1" applyBorder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3" fontId="0" fillId="0" borderId="2" xfId="1" applyFont="1" applyBorder="1"/>
    <xf numFmtId="43" fontId="3" fillId="0" borderId="2" xfId="1" applyFont="1" applyBorder="1" applyAlignment="1">
      <alignment horizontal="right" vertical="top"/>
    </xf>
    <xf numFmtId="43" fontId="4" fillId="0" borderId="2" xfId="1" applyFont="1" applyBorder="1" applyAlignment="1">
      <alignment horizontal="right" vertical="top"/>
    </xf>
    <xf numFmtId="43" fontId="2" fillId="0" borderId="2" xfId="1" applyFont="1" applyBorder="1" applyAlignment="1">
      <alignment horizontal="right" vertical="top"/>
    </xf>
    <xf numFmtId="43" fontId="2" fillId="0" borderId="2" xfId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left" vertical="top" indent="1"/>
    </xf>
    <xf numFmtId="49" fontId="3" fillId="0" borderId="2" xfId="0" applyNumberFormat="1" applyFont="1" applyBorder="1" applyAlignment="1">
      <alignment horizontal="left" vertical="top" indent="2"/>
    </xf>
    <xf numFmtId="164" fontId="4" fillId="0" borderId="2" xfId="0" applyNumberFormat="1" applyFont="1" applyBorder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43" fontId="0" fillId="0" borderId="0" xfId="1" applyFont="1"/>
    <xf numFmtId="165" fontId="1" fillId="0" borderId="4" xfId="0" applyNumberFormat="1" applyFont="1" applyBorder="1" applyAlignment="1">
      <alignment horizontal="right" vertical="top"/>
    </xf>
    <xf numFmtId="166" fontId="0" fillId="0" borderId="0" xfId="0" applyNumberFormat="1"/>
    <xf numFmtId="43" fontId="0" fillId="0" borderId="0" xfId="0" applyNumberFormat="1"/>
    <xf numFmtId="49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2" xfId="1" applyNumberFormat="1" applyFont="1" applyBorder="1"/>
    <xf numFmtId="167" fontId="0" fillId="0" borderId="0" xfId="1" applyNumberFormat="1" applyFont="1"/>
    <xf numFmtId="168" fontId="2" fillId="0" borderId="2" xfId="1" applyNumberFormat="1" applyFont="1" applyBorder="1" applyAlignment="1">
      <alignment horizontal="center" vertical="top"/>
    </xf>
    <xf numFmtId="168" fontId="0" fillId="0" borderId="2" xfId="1" applyNumberFormat="1" applyFont="1" applyBorder="1"/>
    <xf numFmtId="168" fontId="0" fillId="0" borderId="0" xfId="1" applyNumberFormat="1" applyFont="1"/>
    <xf numFmtId="168" fontId="6" fillId="0" borderId="2" xfId="1" applyNumberFormat="1" applyFont="1" applyBorder="1"/>
    <xf numFmtId="0" fontId="6" fillId="0" borderId="0" xfId="0" applyFont="1"/>
    <xf numFmtId="49" fontId="6" fillId="0" borderId="2" xfId="0" applyNumberFormat="1" applyFont="1" applyBorder="1" applyAlignment="1">
      <alignment horizontal="center"/>
    </xf>
    <xf numFmtId="168" fontId="6" fillId="0" borderId="2" xfId="1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8" fontId="6" fillId="0" borderId="0" xfId="1" applyNumberFormat="1" applyFont="1"/>
    <xf numFmtId="168" fontId="5" fillId="0" borderId="0" xfId="0" applyNumberFormat="1" applyFont="1"/>
    <xf numFmtId="0" fontId="6" fillId="0" borderId="2" xfId="0" applyFont="1" applyBorder="1"/>
    <xf numFmtId="168" fontId="6" fillId="0" borderId="0" xfId="1" applyNumberFormat="1" applyFont="1" applyAlignment="1"/>
    <xf numFmtId="0" fontId="6" fillId="0" borderId="2" xfId="0" applyFont="1" applyBorder="1" applyAlignment="1">
      <alignment horizontal="center"/>
    </xf>
    <xf numFmtId="167" fontId="0" fillId="0" borderId="0" xfId="1" applyNumberFormat="1" applyFont="1" applyAlignment="1"/>
    <xf numFmtId="167" fontId="0" fillId="0" borderId="2" xfId="1" applyNumberFormat="1" applyFont="1" applyBorder="1" applyAlignment="1"/>
    <xf numFmtId="167" fontId="6" fillId="0" borderId="2" xfId="1" applyNumberFormat="1" applyFont="1" applyBorder="1" applyAlignment="1"/>
    <xf numFmtId="4" fontId="0" fillId="0" borderId="0" xfId="0" applyNumberFormat="1"/>
    <xf numFmtId="43" fontId="1" fillId="0" borderId="2" xfId="1" applyFont="1" applyBorder="1" applyAlignment="1">
      <alignment horizontal="right" vertical="top"/>
    </xf>
    <xf numFmtId="43" fontId="8" fillId="0" borderId="2" xfId="1" applyFont="1" applyBorder="1" applyAlignment="1"/>
    <xf numFmtId="49" fontId="2" fillId="0" borderId="0" xfId="0" applyNumberFormat="1" applyFont="1" applyAlignment="1">
      <alignment vertical="top"/>
    </xf>
    <xf numFmtId="49" fontId="1" fillId="0" borderId="2" xfId="0" applyNumberFormat="1" applyFont="1" applyBorder="1" applyAlignment="1">
      <alignment horizontal="left" vertical="top"/>
    </xf>
    <xf numFmtId="165" fontId="9" fillId="0" borderId="2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 wrapText="1"/>
    </xf>
    <xf numFmtId="43" fontId="6" fillId="0" borderId="2" xfId="0" applyNumberFormat="1" applyFont="1" applyBorder="1"/>
    <xf numFmtId="168" fontId="6" fillId="0" borderId="0" xfId="1" applyNumberFormat="1" applyFont="1" applyAlignment="1">
      <alignment horizontal="center"/>
    </xf>
    <xf numFmtId="0" fontId="7" fillId="0" borderId="2" xfId="0" applyFont="1" applyBorder="1"/>
    <xf numFmtId="0" fontId="10" fillId="0" borderId="0" xfId="0" applyFont="1"/>
    <xf numFmtId="168" fontId="11" fillId="2" borderId="2" xfId="1" applyNumberFormat="1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/>
    </xf>
    <xf numFmtId="0" fontId="0" fillId="0" borderId="0" xfId="0" applyBorder="1"/>
    <xf numFmtId="168" fontId="0" fillId="0" borderId="0" xfId="1" applyNumberFormat="1" applyFont="1" applyBorder="1"/>
    <xf numFmtId="0" fontId="6" fillId="0" borderId="2" xfId="0" applyFont="1" applyBorder="1" applyAlignment="1">
      <alignment horizontal="center"/>
    </xf>
    <xf numFmtId="14" fontId="0" fillId="0" borderId="2" xfId="0" applyNumberFormat="1" applyBorder="1"/>
    <xf numFmtId="0" fontId="6" fillId="0" borderId="2" xfId="0" applyFont="1" applyBorder="1" applyAlignment="1"/>
    <xf numFmtId="0" fontId="0" fillId="0" borderId="2" xfId="0" applyBorder="1" applyAlignment="1"/>
    <xf numFmtId="0" fontId="0" fillId="0" borderId="0" xfId="0" applyAlignment="1"/>
    <xf numFmtId="0" fontId="6" fillId="0" borderId="2" xfId="0" applyFont="1" applyBorder="1" applyAlignment="1">
      <alignment horizontal="center"/>
    </xf>
    <xf numFmtId="168" fontId="6" fillId="0" borderId="2" xfId="0" applyNumberFormat="1" applyFont="1" applyBorder="1"/>
  </cellXfs>
  <cellStyles count="2">
    <cellStyle name="Comma" xfId="1" builtinId="3"/>
    <cellStyle name="Normal" xfId="0" builtinId="0"/>
  </cellStyles>
  <dxfs count="410"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border>
        <top style="thin">
          <color indexed="64"/>
        </top>
      </border>
    </dxf>
    <dxf>
      <alignment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8" formatCode="_ * #,##0_ ;_ * \-#,##0_ ;_ * &quot;-&quot;??_ ;_ @_ "/>
      <border diagonalUp="0" diagonalDown="0" outline="0">
        <left style="thin">
          <color indexed="64"/>
        </left>
        <right/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numFmt numFmtId="168" formatCode="_ * #,##0_ ;_ * \-#,##0_ ;_ * &quot;-&quot;??_ ;_ @_ 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numFmt numFmtId="167" formatCode="_ * #,##0.0_ ;_ * \-#,##0.0_ ;_ * &quot;-&quot;??_ ;_ @_ 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.0_ ;_ * \-#,##0.0_ ;_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alignment horizontal="center" vertical="bottom" textRotation="0" wrapText="0" indent="0" justifyLastLine="0" shrinkToFit="0" readingOrder="0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alignment horizontal="center" vertical="bottom" textRotation="0" wrapText="0" indent="0" justifyLastLine="0" shrinkToFit="0" readingOrder="0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alignment horizontal="center" vertical="bottom" textRotation="0" wrapText="0" indent="0" justifyLastLine="0" shrinkToFit="0" readingOrder="0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_ * #,##0_ ;_ * \-#,##0_ ;_ * &quot;-&quot;??_ ;_ @_ "/>
    </dxf>
    <dxf>
      <numFmt numFmtId="168" formatCode="_ * #,##0_ ;_ * \-#,##0_ ;_ * &quot;-&quot;??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42.693789583333" createdVersion="7" refreshedVersion="7" minRefreshableVersion="3" recordCount="281">
  <cacheSource type="worksheet">
    <worksheetSource ref="B1:C282" sheet="Consolidated"/>
  </cacheSource>
  <cacheFields count="2">
    <cacheField name="Particulars" numFmtId="0">
      <sharedItems containsBlank="1" count="253">
        <s v="Chowdayya Poultry Farms Malavalli"/>
        <s v="G.P.P.Poultry Farm"/>
        <s v="Javare Gowda Dairy Farm"/>
        <s v="Jogi Gowda Poultry Farm"/>
        <s v="K G Satya Poultry Farm"/>
        <s v="Krishna Poultry Farm"/>
        <s v="Kumar Poultry Farm"/>
        <s v="Muralidhar Poultry Farm"/>
        <s v="Nandish Poultry Farm Mandya"/>
        <s v="Poonacha PB"/>
        <s v="Prasanan Kumar Poultry Farm"/>
        <s v="Prasanna Pig Farm"/>
        <s v="Prathapa Poultry Farm"/>
        <s v="Rajatha Poultry Farm"/>
        <s v="Ramesh Poultry Farms"/>
        <s v="Sanjaya.K Poultry Farm"/>
        <s v="Sanjay S, Veterinary College Hebbal"/>
        <s v="Sathish Poultry Farm ,Maddur"/>
        <s v="Sharath Poultry Farm"/>
        <s v="Siddaramu Dairy Farm Kodyala"/>
        <s v="Sree Lakshmi Ranganatha Poultry Farm &amp; Services"/>
        <s v="Sridhar Poultry Farm - Nagamangala"/>
        <s v="Tilk Poultry Farm"/>
        <s v="Udaya Poultry Farm"/>
        <s v="Varadaraj Poultry Farm"/>
        <s v="Veteran Laboratories"/>
        <s v="Veterinary Collage Hebbal"/>
        <s v="Vishwanatha Poultry Farm"/>
        <s v="V N Poultry Farm"/>
        <s v="Abhishek Poultry Farm K Shetthali"/>
        <s v="Akash Pig Farm"/>
        <s v="Amol Pig Farm"/>
        <s v="Ananya Poultry Farm &amp; Supplies"/>
        <s v="Ashok Poultry Farm_x000d__x000a_"/>
        <s v="Associate Professor Dept.of ILFC Dairy"/>
        <s v="Bandipura Breeders, Mysore"/>
        <s v="BJS Poultry Farm"/>
        <s v="Chaluvaraya Swamy Poultry Farm,Channapatna"/>
        <s v="Deeksha Vet Medicals"/>
        <s v="Devapriya Foods &amp; Feeds,Honnavara"/>
        <s v="Devaraja Poultry Farm"/>
        <s v="Gurunatha Poultry Farm"/>
        <s v="Happy Chicken Centre"/>
        <s v="Harish Poultry Farm- Mandya"/>
        <s v="Hunter Chicken &amp; Eggs India (OPC) Pvt Ltd"/>
        <s v="Jayalinga Poultry Farm"/>
        <s v="Jayanthi Associates, Kannur"/>
        <s v="Jayaraju Poultry Farm_x000d__x000a_"/>
        <s v="J K Pig Farm, Chllakere"/>
        <s v="Jyothi Poultry Farm"/>
        <s v="Kannadiga Poultry Farm"/>
        <s v="Kempanna Poultry Farm"/>
        <s v="Krishna Murthy Labour"/>
        <s v="Krishnappa"/>
        <s v="Krushie Kushie C/O Rakshitha"/>
        <s v="Lalitha Farm, Kadur"/>
        <s v="Madduramma Poultry Farm"/>
        <s v="Megha Poultry Farm"/>
        <s v="M.Nataraja S/O M.R.Muniswamy"/>
        <s v="Murali Pig Farm"/>
        <s v="Nandan Agencies"/>
        <s v="Narayana Poultry Farm"/>
        <s v="Nellukkarans Foods &amp; Feeds Pvt Ltd"/>
        <s v="Ningappa Poultry Farm"/>
        <s v="Ningaraju Poultry Farm"/>
        <s v="Pramod Kumar.C Poultry Farm"/>
        <s v="Praveen Poultry Farm - Koppa"/>
        <s v="Principal Investigator"/>
        <s v="Puttaswamy Poultry Farm- Channapatna"/>
        <s v="Quality Poultry Farms &amp; Feeds"/>
        <s v="Raghavendra Poultry Farms"/>
        <s v="Raju Poultry  Farm Mandya"/>
        <s v="Ranjith Pig Farm"/>
        <s v="Ravi Poultry Farm,K M Doddi"/>
        <s v="Roopa Poultry Farm"/>
        <s v="Sakshi Feeds &amp; Farms"/>
        <s v="Sameer Khan Pf Maddur"/>
        <s v="Santhosh PF"/>
        <s v="Santhosh Poultry Farm"/>
        <s v="S A Poultry Farm"/>
        <s v="S.B.Agencies"/>
        <s v="Shashi Poultry Farm"/>
        <s v="Shree Harsha R"/>
        <s v="S K Poultry Farm"/>
        <s v="Spoorthy Poultry Farm"/>
        <s v="Sri Lakshmi Poultry Farm"/>
        <s v="Sri Sai Poultry Farm"/>
        <s v="Sri Sai Ram Poultry Farm"/>
        <s v="Sri Sharada Gunny Merchents"/>
        <s v="Sri Surya Agency"/>
        <s v="Sri Vigneshwara Poultry Services"/>
        <s v="Sudha Poultry Farm"/>
        <s v="Suma Poultry Farm"/>
        <s v="Sumedha Broiler Farms"/>
        <s v="Sumuka Enterprises"/>
        <s v="Suraja Poultry Farm"/>
        <s v="Suresh Poultry Farm - Hallegere"/>
        <s v="Thammanna Poultry Feeds"/>
        <s v="Vasavi Poultry Farm"/>
        <s v="Venkateshwara Poultry Farm, Koppa"/>
        <s v="Veterinary Collage"/>
        <s v="SLV Poultry Farm"/>
        <s v="KPR Agros Poultries Pvt Ltd"/>
        <s v="Sree Sai Poultry Farm"/>
        <s v="Aavion Enterprises Drs"/>
        <s v="CNC Poultry Farms &amp; Feeds"/>
        <s v="Happy Feed &amp; Farms LLP"/>
        <s v="Kabbalamma Poultry Farm"/>
        <s v="Maruthi Poultry Farm"/>
        <s v="Raghavendra Enterprises"/>
        <s v="Srinivasa Poultry Farm-Nandi Cross"/>
        <s v="Ajwa Poultry Feed"/>
        <s v="Annapoorna Poultry Farm"/>
        <s v="Krishna Poultry Farms, CPT"/>
        <s v="Nimishamba Poultry Farm"/>
        <s v="Premier Distributors"/>
        <s v="Principal Investigator, Poultry Science"/>
        <s v="Renuka Feeds"/>
        <s v="Ruchi Agro Industries"/>
        <s v="Sampath Kumar M K"/>
        <s v="Sathish Feeds Chandapur"/>
        <s v="Shakthi Hatcheries &amp; Feeds"/>
        <s v="SR Agro Farms - Rajanakunte"/>
        <s v="Sri Chamundeshwari Poultry Feeds"/>
        <s v="Sri Nandi Feeds"/>
        <s v="Sumukha Farm"/>
        <s v="Utpala Live Stocks"/>
        <s v="Pratham Distributors"/>
        <s v="Shri Hiranyakeshi Feeds and Farms Pvt Ltd"/>
        <s v="Sun Biotic"/>
        <s v="Ashwatha Narayana Poultry Farm"/>
        <s v="Hanumanthappa Poultry Farm"/>
        <s v="Kadabageri Kotresh"/>
        <s v="Radha Krishna Poultry Farm"/>
        <s v="Shri Lakshmi Narasimha PF"/>
        <s v="Sudarshan Poultry Farm"/>
        <s v="Venkateshwara Poultry Farm - Harihara"/>
        <s v="Ramakrishna Nayak"/>
        <s v="Akash Enterprises"/>
        <s v="Ambika Poultry Farm"/>
        <s v="Kavya Traders"/>
        <s v="Savithri Poultry Farm_x000d__x000a_"/>
        <s v="Yousuf Pf kaddirampur Hampi"/>
        <s v="GMI Poultry Foods"/>
        <s v="Harsha Poultry Farm"/>
        <s v="HKGN Poultry Farm"/>
        <s v="Jeelan Poultry Farm"/>
        <s v="Jyothi Poultry Farms"/>
        <s v="Karnataka Poultry Farm"/>
        <s v="Karthik Poultry Farm"/>
        <s v="Manikyam Poultry Farm"/>
        <s v="Manju Poultry Farm"/>
        <s v="Mega Country Chicken Farm"/>
        <s v="MRM Poultry"/>
        <s v="MSR &amp; Other Poultry Farm"/>
        <s v="M/s sri GuruThipperdra swamy poultry farm"/>
        <s v="Padmaja Farms"/>
        <s v="Raghavendra Poultry Farm"/>
        <s v="Saadhanaa Poultry Farm"/>
        <s v="Sahana Poultry Farm"/>
        <s v="Sai Krupa Agencies"/>
        <s v="Sandya Poultry Farm"/>
        <s v="Shashidhara Poultry Form"/>
        <s v="Shri Vishnu Distributors"/>
        <s v="Sree Kalleswara Poultry Farm"/>
        <s v="Sree Ram Poultry Farm"/>
        <s v="Sree Vinayaka Poultry Farm"/>
        <s v="Sri Hamika Poultry Farm"/>
        <s v="Sri Laxmi Poultry Farm"/>
        <s v="Sri Madhu Poultry Farm"/>
        <s v="Swathi Poultry Farm"/>
        <s v="Venkatalakshmi Poultry Farm"/>
        <s v="Principal Investigator,Hebbal"/>
        <s v="Professor and Head"/>
        <s v="The Dean (Vety)"/>
        <s v="Balaji Poultry Farm"/>
        <s v="M/s Sri Guru Poultry Farm"/>
        <s v="Buruju Gangamma Poultry Farm"/>
        <s v="Shashidhara Poultry Form-Old-Prabhakar"/>
        <s v="Sneha poultry farm"/>
        <m/>
        <s v="Jaya Kumar Poultry Farm"/>
        <s v="Haritha Agencies"/>
        <s v="Royal Traders"/>
        <s v="Bismillah Feeds"/>
        <s v="J K Agencies"/>
        <s v="Matha Agencies"/>
        <s v="MPM Agencies"/>
        <s v="Quality Feeds"/>
        <s v="Rishan Exporters"/>
        <s v="S I T Agencies"/>
        <s v="Om Sai Ram"/>
        <s v="M S Feeds"/>
        <s v="Ras Traders"/>
        <s v="Kurikkal Chicken Wandoor"/>
        <s v="Shakra Feeds &amp; Hatcheries"/>
        <s v="Lotus Enterprises"/>
        <s v="Shree Agencies"/>
        <s v="Snehith Reddy Poultry And Feeds"/>
        <s v="Sri Parameshwari Broiler Poultry Farm &amp; Feeds"/>
        <s v="Obulesh poultry Farm"/>
        <s v="Sri Laxmi Narasimha Poultry Farms"/>
        <s v="T Nadipi Gurrappa"/>
        <s v="Kishan poultry society"/>
        <s v="Mallikharjuna Rao Poultry Farm"/>
        <s v="Narender Reddy poultry farms"/>
        <s v="M/s Excel Poultry"/>
        <s v="Sri sreshta Poultries  and feed"/>
        <s v="Vignan Organics"/>
        <s v="Sri Devi Poutry Farm, Narasaraopete"/>
        <s v="K P R fresh products"/>
        <s v="Laxmi Sai Breeding Farms Pvt Ltd"/>
        <s v="Masthan Poultry Farms"/>
        <s v="Dhanalakshmi poultry farm"/>
        <s v="Abhinay  Reddy Poultry Farm"/>
        <s v="Ambarish Poultry Farm"/>
        <s v="Anjali Enterprises"/>
        <s v="Green Valley Nutrition_x000d__x000a_"/>
        <s v="K Satya Padma Latha"/>
        <s v="Lakshmi Narasimhaswamy Poultry Farm"/>
        <s v="Siva Sai Enterprises_x000d__x000a_"/>
        <s v="Srinivasulareddy palakolanu"/>
        <s v="Umamaheshwara Poultry Farm"/>
        <s v="Aarna Traders"/>
        <s v="Devi Prasuna Poultry Farm"/>
        <s v="K V R Poultry Farm"/>
        <s v="Lakshmi Poultry, Vadluru"/>
        <s v="M Janaki Surya Narayana Raju"/>
        <s v="MNVSN Raju Poultry Farm"/>
        <s v="M Sathyavathi"/>
        <s v="Poorna Chandra Poultry Farm"/>
        <s v="RKR Poultry Farm"/>
        <s v="S D  Reshma poultry farm"/>
        <s v="Simhadri Srinivasa Rao _x000d__x000a_"/>
        <s v="Siva Rama Poultry Farm"/>
        <s v="Sri Lakshmi Panduranga Poultry Farm"/>
        <s v="Sri Lakshmi Srinivasa Poultries"/>
        <s v="S V J Poultry Farm"/>
        <s v="V Krishnam Raju Poultries"/>
        <s v="VVS Muralidhara Poultry Farm"/>
        <s v="A1 Fresh Chicken &amp; Poultry Centre _x000d__x000a_"/>
        <s v="Honey Poultry Feeds_x000d__x000a_"/>
        <s v="K.R.Traders _x000d__x000a_"/>
        <s v="Nalini Poultry Farm_x000d__x000a_"/>
        <s v="NNR Associates _x000d__x000a_"/>
        <s v="Srinivasa Poultry Farm, Chandrala"/>
        <s v="Sri Sai Ram Poultry Feeds_x000d__x000a_"/>
        <s v="T.Vasu Poultry Farm_x000d__x000a_"/>
        <s v="Y Ranjth Kumar Poultry Farm"/>
        <s v="Abhayanjaneya Poultry Trader's"/>
        <s v="Sai Poultries"/>
        <s v="Siva Poultries"/>
        <s v="Venkateswara Rao Poultry Farm"/>
      </sharedItems>
    </cacheField>
    <cacheField name="Pending Bills" numFmtId="168">
      <sharedItems containsString="0" containsBlank="1" containsNumber="1" minValue="95" maxValue="92897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42.720314699072" createdVersion="7" refreshedVersion="7" minRefreshableVersion="3" recordCount="281">
  <cacheSource type="worksheet">
    <worksheetSource ref="A1:L282" sheet="Consolidated"/>
  </cacheSource>
  <cacheFields count="12">
    <cacheField name="ASM" numFmtId="0">
      <sharedItems containsBlank="1" count="21">
        <s v="Direct - Active"/>
        <s v="Direct - Inactive"/>
        <s v="Mahendra"/>
        <s v="Prabhakar"/>
        <s v="DR"/>
        <s v="Dayananda"/>
        <s v="G Chandra Sekhar"/>
        <s v="Lavanya"/>
        <m/>
        <s v="Ranjith"/>
        <s v="Adarsh"/>
        <s v="Nebu John"/>
        <s v="Raja Kumar"/>
        <s v="Raghavendra"/>
        <s v="Ashok"/>
        <s v="Bandaru Balaji"/>
        <s v="Karre Narasimha"/>
        <s v="N. Srinivas"/>
        <s v="Seetharam"/>
        <s v="Gouse"/>
        <s v="Ravibabu"/>
      </sharedItems>
    </cacheField>
    <cacheField name="Particulars" numFmtId="0">
      <sharedItems containsBlank="1" count="253">
        <s v="Chowdayya Poultry Farms Malavalli"/>
        <s v="G.P.P.Poultry Farm"/>
        <s v="Javare Gowda Dairy Farm"/>
        <s v="Jogi Gowda Poultry Farm"/>
        <s v="K G Satya Poultry Farm"/>
        <s v="Krishna Poultry Farm"/>
        <s v="Kumar Poultry Farm"/>
        <s v="Muralidhar Poultry Farm"/>
        <s v="Nandish Poultry Farm Mandya"/>
        <s v="Poonacha PB"/>
        <s v="Prasanan Kumar Poultry Farm"/>
        <s v="Prasanna Pig Farm"/>
        <s v="Prathapa Poultry Farm"/>
        <s v="Rajatha Poultry Farm"/>
        <s v="Ramesh Poultry Farms"/>
        <s v="Sanjaya.K Poultry Farm"/>
        <s v="Sanjay S, Veterinary College Hebbal"/>
        <s v="Sathish Poultry Farm ,Maddur"/>
        <s v="Sharath Poultry Farm"/>
        <s v="Siddaramu Dairy Farm Kodyala"/>
        <s v="Sree Lakshmi Ranganatha Poultry Farm &amp; Services"/>
        <s v="Sridhar Poultry Farm - Nagamangala"/>
        <s v="Tilk Poultry Farm"/>
        <s v="Udaya Poultry Farm"/>
        <s v="Varadaraj Poultry Farm"/>
        <s v="Veteran Laboratories"/>
        <s v="Veterinary Collage Hebbal"/>
        <s v="Vishwanatha Poultry Farm"/>
        <s v="V N Poultry Farm"/>
        <s v="Abhishek Poultry Farm K Shetthali"/>
        <s v="Akash Pig Farm"/>
        <s v="Amol Pig Farm"/>
        <s v="Ananya Poultry Farm &amp; Supplies"/>
        <s v="Ashok Poultry Farm_x000d__x000a_"/>
        <s v="Associate Professor Dept.of ILFC Dairy"/>
        <s v="Bandipura Breeders, Mysore"/>
        <s v="BJS Poultry Farm"/>
        <s v="Chaluvaraya Swamy Poultry Farm,Channapatna"/>
        <s v="Deeksha Vet Medicals"/>
        <s v="Devapriya Foods &amp; Feeds,Honnavara"/>
        <s v="Devaraja Poultry Farm"/>
        <s v="Gurunatha Poultry Farm"/>
        <s v="Happy Chicken Centre"/>
        <s v="Harish Poultry Farm- Mandya"/>
        <s v="Hunter Chicken &amp; Eggs India (OPC) Pvt Ltd"/>
        <s v="Jayalinga Poultry Farm"/>
        <s v="Jayanthi Associates, Kannur"/>
        <s v="Jayaraju Poultry Farm_x000d__x000a_"/>
        <s v="J K Pig Farm, Chllakere"/>
        <s v="Jyothi Poultry Farm"/>
        <s v="Kannadiga Poultry Farm"/>
        <s v="Kempanna Poultry Farm"/>
        <s v="Krishna Murthy Labour"/>
        <s v="Krishnappa"/>
        <s v="Krushie Kushie C/O Rakshitha"/>
        <s v="Lalitha Farm, Kadur"/>
        <s v="Madduramma Poultry Farm"/>
        <s v="Megha Poultry Farm"/>
        <s v="M.Nataraja S/O M.R.Muniswamy"/>
        <s v="Murali Pig Farm"/>
        <s v="Nandan Agencies"/>
        <s v="Narayana Poultry Farm"/>
        <s v="Nellukkarans Foods &amp; Feeds Pvt Ltd"/>
        <s v="Ningappa Poultry Farm"/>
        <s v="Ningaraju Poultry Farm"/>
        <s v="Pramod Kumar.C Poultry Farm"/>
        <s v="Praveen Poultry Farm - Koppa"/>
        <s v="Principal Investigator"/>
        <s v="Puttaswamy Poultry Farm- Channapatna"/>
        <s v="Quality Poultry Farms &amp; Feeds"/>
        <s v="Raghavendra Poultry Farms"/>
        <s v="Raju Poultry  Farm Mandya"/>
        <s v="Ranjith Pig Farm"/>
        <s v="Ravi Poultry Farm,K M Doddi"/>
        <s v="Roopa Poultry Farm"/>
        <s v="Sakshi Feeds &amp; Farms"/>
        <s v="Sameer Khan Pf Maddur"/>
        <s v="Santhosh PF"/>
        <s v="Santhosh Poultry Farm"/>
        <s v="S A Poultry Farm"/>
        <s v="S.B.Agencies"/>
        <s v="Shashi Poultry Farm"/>
        <s v="Shree Harsha R"/>
        <s v="S K Poultry Farm"/>
        <s v="Spoorthy Poultry Farm"/>
        <s v="Sri Lakshmi Poultry Farm"/>
        <s v="Sri Sai Poultry Farm"/>
        <s v="Sri Sai Ram Poultry Farm"/>
        <s v="Sri Sharada Gunny Merchents"/>
        <s v="Sri Surya Agency"/>
        <s v="Sri Vigneshwara Poultry Services"/>
        <s v="Sudha Poultry Farm"/>
        <s v="Suma Poultry Farm"/>
        <s v="Sumedha Broiler Farms"/>
        <s v="Sumuka Enterprises"/>
        <s v="Suraja Poultry Farm"/>
        <s v="Suresh Poultry Farm - Hallegere"/>
        <s v="Thammanna Poultry Feeds"/>
        <s v="Vasavi Poultry Farm"/>
        <s v="Venkateshwara Poultry Farm, Koppa"/>
        <s v="Veterinary Collage"/>
        <s v="SLV Poultry Farm"/>
        <s v="KPR Agros Poultries Pvt Ltd"/>
        <s v="Sree Sai Poultry Farm"/>
        <s v="Aavion Enterprises Drs"/>
        <s v="CNC Poultry Farms &amp; Feeds"/>
        <s v="Happy Feed &amp; Farms LLP"/>
        <s v="Kabbalamma Poultry Farm"/>
        <s v="Maruthi Poultry Farm"/>
        <s v="Raghavendra Enterprises"/>
        <s v="Srinivasa Poultry Farm-Nandi Cross"/>
        <s v="Ajwa Poultry Feed"/>
        <s v="Annapoorna Poultry Farm"/>
        <s v="Krishna Poultry Farms, CPT"/>
        <s v="Nimishamba Poultry Farm"/>
        <s v="Premier Distributors"/>
        <s v="Principal Investigator, Poultry Science"/>
        <s v="Renuka Feeds"/>
        <s v="Ruchi Agro Industries"/>
        <s v="Sampath Kumar M K"/>
        <s v="Sathish Feeds Chandapur"/>
        <s v="Shakthi Hatcheries &amp; Feeds"/>
        <s v="SR Agro Farms - Rajanakunte"/>
        <s v="Sri Chamundeshwari Poultry Feeds"/>
        <s v="Sri Nandi Feeds"/>
        <s v="Sumukha Farm"/>
        <s v="Utpala Live Stocks"/>
        <s v="Pratham Distributors"/>
        <s v="Shri Hiranyakeshi Feeds and Farms Pvt Ltd"/>
        <s v="Sun Biotic"/>
        <s v="Ashwatha Narayana Poultry Farm"/>
        <s v="Hanumanthappa Poultry Farm"/>
        <s v="Kadabageri Kotresh"/>
        <s v="Radha Krishna Poultry Farm"/>
        <s v="Shri Lakshmi Narasimha PF"/>
        <s v="Sudarshan Poultry Farm"/>
        <s v="Venkateshwara Poultry Farm - Harihara"/>
        <s v="Ramakrishna Nayak"/>
        <s v="Akash Enterprises"/>
        <s v="Ambika Poultry Farm"/>
        <s v="Kavya Traders"/>
        <s v="Savithri Poultry Farm_x000d__x000a_"/>
        <s v="Yousuf Pf kaddirampur Hampi"/>
        <s v="GMI Poultry Foods"/>
        <s v="Harsha Poultry Farm"/>
        <s v="HKGN Poultry Farm"/>
        <s v="Jeelan Poultry Farm"/>
        <s v="Jyothi Poultry Farms"/>
        <s v="Karnataka Poultry Farm"/>
        <s v="Karthik Poultry Farm"/>
        <s v="Manikyam Poultry Farm"/>
        <s v="Manju Poultry Farm"/>
        <s v="Mega Country Chicken Farm"/>
        <s v="MRM Poultry"/>
        <s v="MSR &amp; Other Poultry Farm"/>
        <s v="M/s sri GuruThipperdra swamy poultry farm"/>
        <s v="Padmaja Farms"/>
        <s v="Raghavendra Poultry Farm"/>
        <s v="Saadhanaa Poultry Farm"/>
        <s v="Sahana Poultry Farm"/>
        <s v="Sai Krupa Agencies"/>
        <s v="Sandya Poultry Farm"/>
        <s v="Shashidhara Poultry Form"/>
        <s v="Shri Vishnu Distributors"/>
        <s v="Sree Kalleswara Poultry Farm"/>
        <s v="Sree Ram Poultry Farm"/>
        <s v="Sree Vinayaka Poultry Farm"/>
        <s v="Sri Hamika Poultry Farm"/>
        <s v="Sri Laxmi Poultry Farm"/>
        <s v="Sri Madhu Poultry Farm"/>
        <s v="Swathi Poultry Farm"/>
        <s v="Venkatalakshmi Poultry Farm"/>
        <s v="Principal Investigator,Hebbal"/>
        <s v="Professor and Head"/>
        <s v="The Dean (Vety)"/>
        <s v="Balaji Poultry Farm"/>
        <s v="M/s Sri Guru Poultry Farm"/>
        <s v="Buruju Gangamma Poultry Farm"/>
        <s v="Shashidhara Poultry Form-Old-Prabhakar"/>
        <s v="Sneha poultry farm"/>
        <m/>
        <s v="Jaya Kumar Poultry Farm"/>
        <s v="Haritha Agencies"/>
        <s v="Royal Traders"/>
        <s v="Bismillah Feeds"/>
        <s v="J K Agencies"/>
        <s v="Matha Agencies"/>
        <s v="MPM Agencies"/>
        <s v="Quality Feeds"/>
        <s v="Rishan Exporters"/>
        <s v="S I T Agencies"/>
        <s v="Om Sai Ram"/>
        <s v="M S Feeds"/>
        <s v="Ras Traders"/>
        <s v="Kurikkal Chicken Wandoor"/>
        <s v="Shakra Feeds &amp; Hatcheries"/>
        <s v="Lotus Enterprises"/>
        <s v="Shree Agencies"/>
        <s v="Snehith Reddy Poultry And Feeds"/>
        <s v="Sri Parameshwari Broiler Poultry Farm &amp; Feeds"/>
        <s v="Obulesh poultry Farm"/>
        <s v="Sri Laxmi Narasimha Poultry Farms"/>
        <s v="T Nadipi Gurrappa"/>
        <s v="Kishan poultry society"/>
        <s v="Mallikharjuna Rao Poultry Farm"/>
        <s v="Narender Reddy poultry farms"/>
        <s v="M/s Excel Poultry"/>
        <s v="Sri sreshta Poultries  and feed"/>
        <s v="Vignan Organics"/>
        <s v="Sri Devi Poutry Farm, Narasaraopete"/>
        <s v="K P R fresh products"/>
        <s v="Laxmi Sai Breeding Farms Pvt Ltd"/>
        <s v="Masthan Poultry Farms"/>
        <s v="Dhanalakshmi poultry farm"/>
        <s v="Abhinay  Reddy Poultry Farm"/>
        <s v="Ambarish Poultry Farm"/>
        <s v="Anjali Enterprises"/>
        <s v="Green Valley Nutrition_x000d__x000a_"/>
        <s v="K Satya Padma Latha"/>
        <s v="Lakshmi Narasimhaswamy Poultry Farm"/>
        <s v="Siva Sai Enterprises_x000d__x000a_"/>
        <s v="Srinivasulareddy palakolanu"/>
        <s v="Umamaheshwara Poultry Farm"/>
        <s v="Aarna Traders"/>
        <s v="Devi Prasuna Poultry Farm"/>
        <s v="K V R Poultry Farm"/>
        <s v="Lakshmi Poultry, Vadluru"/>
        <s v="M Janaki Surya Narayana Raju"/>
        <s v="MNVSN Raju Poultry Farm"/>
        <s v="M Sathyavathi"/>
        <s v="Poorna Chandra Poultry Farm"/>
        <s v="RKR Poultry Farm"/>
        <s v="S D  Reshma poultry farm"/>
        <s v="Simhadri Srinivasa Rao _x000d__x000a_"/>
        <s v="Siva Rama Poultry Farm"/>
        <s v="Sri Lakshmi Panduranga Poultry Farm"/>
        <s v="Sri Lakshmi Srinivasa Poultries"/>
        <s v="S V J Poultry Farm"/>
        <s v="V Krishnam Raju Poultries"/>
        <s v="VVS Muralidhara Poultry Farm"/>
        <s v="A1 Fresh Chicken &amp; Poultry Centre _x000d__x000a_"/>
        <s v="Honey Poultry Feeds_x000d__x000a_"/>
        <s v="K.R.Traders _x000d__x000a_"/>
        <s v="Nalini Poultry Farm_x000d__x000a_"/>
        <s v="NNR Associates _x000d__x000a_"/>
        <s v="Srinivasa Poultry Farm, Chandrala"/>
        <s v="Sri Sai Ram Poultry Feeds_x000d__x000a_"/>
        <s v="T.Vasu Poultry Farm_x000d__x000a_"/>
        <s v="Y Ranjth Kumar Poultry Farm"/>
        <s v="Abhayanjaneya Poultry Trader's"/>
        <s v="Sai Poultries"/>
        <s v="Siva Poultries"/>
        <s v="Venkateswara Rao Poultry Farm"/>
      </sharedItems>
    </cacheField>
    <cacheField name="Pending Bills" numFmtId="168">
      <sharedItems containsString="0" containsBlank="1" containsNumber="1" minValue="0" maxValue="9289726"/>
    </cacheField>
    <cacheField name="(&lt; 15 days )" numFmtId="168">
      <sharedItems containsString="0" containsBlank="1" containsNumber="1" minValue="0" maxValue="9289726"/>
    </cacheField>
    <cacheField name="15 to 30 days" numFmtId="168">
      <sharedItems containsString="0" containsBlank="1" containsNumber="1" minValue="0" maxValue="3556284"/>
    </cacheField>
    <cacheField name="30 to 45 days" numFmtId="168">
      <sharedItems containsString="0" containsBlank="1" containsNumber="1" minValue="0" maxValue="900410"/>
    </cacheField>
    <cacheField name="45 to 60 days" numFmtId="168">
      <sharedItems containsString="0" containsBlank="1" containsNumber="1" minValue="0" maxValue="892375"/>
    </cacheField>
    <cacheField name="60 to 90 days" numFmtId="168">
      <sharedItems containsString="0" containsBlank="1" containsNumber="1" minValue="0" maxValue="1262250"/>
    </cacheField>
    <cacheField name="90 to 180 days" numFmtId="168">
      <sharedItems containsString="0" containsBlank="1" containsNumber="1" minValue="0" maxValue="1702445"/>
    </cacheField>
    <cacheField name="180 to 365 days" numFmtId="168">
      <sharedItems containsString="0" containsBlank="1" containsNumber="1" minValue="0" maxValue="1842785"/>
    </cacheField>
    <cacheField name="365 to 730 days" numFmtId="168">
      <sharedItems containsString="0" containsBlank="1" containsNumber="1" minValue="0" maxValue="1468223"/>
    </cacheField>
    <cacheField name="(&gt; 730 days )" numFmtId="168">
      <sharedItems containsString="0" containsBlank="1" containsNumber="1" minValue="0" maxValue="84627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n v="13625"/>
  </r>
  <r>
    <x v="1"/>
    <n v="4307350"/>
  </r>
  <r>
    <x v="2"/>
    <n v="8815"/>
  </r>
  <r>
    <x v="3"/>
    <n v="86330"/>
  </r>
  <r>
    <x v="4"/>
    <n v="367278"/>
  </r>
  <r>
    <x v="5"/>
    <n v="2754944.52"/>
  </r>
  <r>
    <x v="6"/>
    <n v="1025"/>
  </r>
  <r>
    <x v="7"/>
    <n v="55445"/>
  </r>
  <r>
    <x v="8"/>
    <n v="3950"/>
  </r>
  <r>
    <x v="9"/>
    <n v="31300"/>
  </r>
  <r>
    <x v="10"/>
    <n v="1280"/>
  </r>
  <r>
    <x v="11"/>
    <n v="180"/>
  </r>
  <r>
    <x v="12"/>
    <n v="47355"/>
  </r>
  <r>
    <x v="13"/>
    <n v="8185"/>
  </r>
  <r>
    <x v="14"/>
    <n v="56995"/>
  </r>
  <r>
    <x v="15"/>
    <n v="4590"/>
  </r>
  <r>
    <x v="16"/>
    <n v="62003"/>
  </r>
  <r>
    <x v="17"/>
    <n v="22780"/>
  </r>
  <r>
    <x v="18"/>
    <n v="113005"/>
  </r>
  <r>
    <x v="19"/>
    <n v="795"/>
  </r>
  <r>
    <x v="20"/>
    <n v="589294"/>
  </r>
  <r>
    <x v="21"/>
    <n v="10700"/>
  </r>
  <r>
    <x v="22"/>
    <n v="2060"/>
  </r>
  <r>
    <x v="23"/>
    <n v="7705"/>
  </r>
  <r>
    <x v="24"/>
    <n v="2025"/>
  </r>
  <r>
    <x v="25"/>
    <n v="13775"/>
  </r>
  <r>
    <x v="26"/>
    <n v="5928"/>
  </r>
  <r>
    <x v="27"/>
    <n v="2345"/>
  </r>
  <r>
    <x v="28"/>
    <n v="605"/>
  </r>
  <r>
    <x v="29"/>
    <n v="30300"/>
  </r>
  <r>
    <x v="30"/>
    <n v="6570"/>
  </r>
  <r>
    <x v="31"/>
    <n v="104690"/>
  </r>
  <r>
    <x v="32"/>
    <n v="54000"/>
  </r>
  <r>
    <x v="33"/>
    <n v="599850"/>
  </r>
  <r>
    <x v="34"/>
    <n v="8911"/>
  </r>
  <r>
    <x v="35"/>
    <n v="933158"/>
  </r>
  <r>
    <x v="36"/>
    <n v="306533"/>
  </r>
  <r>
    <x v="37"/>
    <n v="183720"/>
  </r>
  <r>
    <x v="38"/>
    <n v="52000"/>
  </r>
  <r>
    <x v="39"/>
    <n v="511820"/>
  </r>
  <r>
    <x v="40"/>
    <n v="461812"/>
  </r>
  <r>
    <x v="41"/>
    <n v="900848"/>
  </r>
  <r>
    <x v="42"/>
    <n v="1341583"/>
  </r>
  <r>
    <x v="43"/>
    <n v="13280"/>
  </r>
  <r>
    <x v="44"/>
    <n v="753532"/>
  </r>
  <r>
    <x v="45"/>
    <n v="131750"/>
  </r>
  <r>
    <x v="46"/>
    <n v="3222982"/>
  </r>
  <r>
    <x v="47"/>
    <n v="296940"/>
  </r>
  <r>
    <x v="48"/>
    <n v="1639250"/>
  </r>
  <r>
    <x v="49"/>
    <n v="53935"/>
  </r>
  <r>
    <x v="50"/>
    <n v="950"/>
  </r>
  <r>
    <x v="51"/>
    <n v="4350"/>
  </r>
  <r>
    <x v="52"/>
    <n v="2000"/>
  </r>
  <r>
    <x v="53"/>
    <n v="594147.4"/>
  </r>
  <r>
    <x v="54"/>
    <n v="864426"/>
  </r>
  <r>
    <x v="55"/>
    <n v="36700"/>
  </r>
  <r>
    <x v="56"/>
    <n v="76200"/>
  </r>
  <r>
    <x v="57"/>
    <n v="317430"/>
  </r>
  <r>
    <x v="58"/>
    <n v="101265"/>
  </r>
  <r>
    <x v="59"/>
    <n v="4000"/>
  </r>
  <r>
    <x v="60"/>
    <n v="496253"/>
  </r>
  <r>
    <x v="61"/>
    <n v="2610248"/>
  </r>
  <r>
    <x v="62"/>
    <n v="528500"/>
  </r>
  <r>
    <x v="63"/>
    <n v="688177"/>
  </r>
  <r>
    <x v="64"/>
    <n v="23175"/>
  </r>
  <r>
    <x v="65"/>
    <n v="47200"/>
  </r>
  <r>
    <x v="66"/>
    <n v="45014"/>
  </r>
  <r>
    <x v="67"/>
    <n v="51000"/>
  </r>
  <r>
    <x v="68"/>
    <n v="235925"/>
  </r>
  <r>
    <x v="69"/>
    <n v="755000"/>
  </r>
  <r>
    <x v="70"/>
    <n v="63075"/>
  </r>
  <r>
    <x v="71"/>
    <n v="14160"/>
  </r>
  <r>
    <x v="72"/>
    <n v="3940"/>
  </r>
  <r>
    <x v="73"/>
    <n v="24960"/>
  </r>
  <r>
    <x v="74"/>
    <n v="119005.51"/>
  </r>
  <r>
    <x v="75"/>
    <n v="215059"/>
  </r>
  <r>
    <x v="76"/>
    <n v="1330"/>
  </r>
  <r>
    <x v="77"/>
    <n v="241849"/>
  </r>
  <r>
    <x v="78"/>
    <n v="356899"/>
  </r>
  <r>
    <x v="79"/>
    <n v="653616"/>
  </r>
  <r>
    <x v="80"/>
    <n v="1304929"/>
  </r>
  <r>
    <x v="81"/>
    <n v="874075"/>
  </r>
  <r>
    <x v="82"/>
    <n v="18295"/>
  </r>
  <r>
    <x v="83"/>
    <n v="223000"/>
  </r>
  <r>
    <x v="84"/>
    <n v="840572"/>
  </r>
  <r>
    <x v="85"/>
    <n v="105900"/>
  </r>
  <r>
    <x v="86"/>
    <n v="823063"/>
  </r>
  <r>
    <x v="87"/>
    <n v="786840"/>
  </r>
  <r>
    <x v="88"/>
    <n v="34169.68"/>
  </r>
  <r>
    <x v="89"/>
    <n v="92625"/>
  </r>
  <r>
    <x v="90"/>
    <n v="814865"/>
  </r>
  <r>
    <x v="91"/>
    <n v="66000"/>
  </r>
  <r>
    <x v="92"/>
    <n v="12375"/>
  </r>
  <r>
    <x v="93"/>
    <n v="6510"/>
  </r>
  <r>
    <x v="94"/>
    <n v="1366469"/>
  </r>
  <r>
    <x v="95"/>
    <n v="30300"/>
  </r>
  <r>
    <x v="96"/>
    <n v="10495"/>
  </r>
  <r>
    <x v="97"/>
    <n v="349514"/>
  </r>
  <r>
    <x v="98"/>
    <n v="2320224"/>
  </r>
  <r>
    <x v="99"/>
    <n v="140880"/>
  </r>
  <r>
    <x v="100"/>
    <n v="1550"/>
  </r>
  <r>
    <x v="101"/>
    <n v="5950"/>
  </r>
  <r>
    <x v="102"/>
    <n v="6650"/>
  </r>
  <r>
    <x v="103"/>
    <n v="436800"/>
  </r>
  <r>
    <x v="104"/>
    <n v="59400"/>
  </r>
  <r>
    <x v="105"/>
    <n v="133500"/>
  </r>
  <r>
    <x v="106"/>
    <n v="21500"/>
  </r>
  <r>
    <x v="107"/>
    <n v="92049"/>
  </r>
  <r>
    <x v="108"/>
    <n v="29400"/>
  </r>
  <r>
    <x v="109"/>
    <n v="842606"/>
  </r>
  <r>
    <x v="110"/>
    <n v="24151"/>
  </r>
  <r>
    <x v="93"/>
    <n v="1000"/>
  </r>
  <r>
    <x v="111"/>
    <n v="121200"/>
  </r>
  <r>
    <x v="112"/>
    <n v="32650"/>
  </r>
  <r>
    <x v="113"/>
    <n v="94800"/>
  </r>
  <r>
    <x v="114"/>
    <n v="138888"/>
  </r>
  <r>
    <x v="9"/>
    <n v="1700"/>
  </r>
  <r>
    <x v="115"/>
    <n v="455999"/>
  </r>
  <r>
    <x v="116"/>
    <n v="66297"/>
  </r>
  <r>
    <x v="117"/>
    <n v="347500"/>
  </r>
  <r>
    <x v="118"/>
    <n v="414295"/>
  </r>
  <r>
    <x v="119"/>
    <n v="94150"/>
  </r>
  <r>
    <x v="120"/>
    <n v="7750"/>
  </r>
  <r>
    <x v="121"/>
    <n v="56826"/>
  </r>
  <r>
    <x v="122"/>
    <n v="221525"/>
  </r>
  <r>
    <x v="123"/>
    <n v="39921.339999999997"/>
  </r>
  <r>
    <x v="124"/>
    <n v="1679384"/>
  </r>
  <r>
    <x v="125"/>
    <n v="34900"/>
  </r>
  <r>
    <x v="97"/>
    <n v="91772"/>
  </r>
  <r>
    <x v="126"/>
    <n v="95"/>
  </r>
  <r>
    <x v="127"/>
    <n v="1319600"/>
  </r>
  <r>
    <x v="128"/>
    <n v="342500"/>
  </r>
  <r>
    <x v="129"/>
    <n v="2801980.25"/>
  </r>
  <r>
    <x v="130"/>
    <n v="4550"/>
  </r>
  <r>
    <x v="131"/>
    <n v="12300"/>
  </r>
  <r>
    <x v="132"/>
    <n v="114750"/>
  </r>
  <r>
    <x v="133"/>
    <n v="28025"/>
  </r>
  <r>
    <x v="134"/>
    <n v="18000"/>
  </r>
  <r>
    <x v="135"/>
    <n v="309520"/>
  </r>
  <r>
    <x v="136"/>
    <n v="6150"/>
  </r>
  <r>
    <x v="137"/>
    <n v="64450"/>
  </r>
  <r>
    <x v="138"/>
    <n v="1635149.84"/>
  </r>
  <r>
    <x v="105"/>
    <n v="4837099"/>
  </r>
  <r>
    <x v="139"/>
    <n v="236276.25"/>
  </r>
  <r>
    <x v="140"/>
    <n v="335497"/>
  </r>
  <r>
    <x v="141"/>
    <n v="75494"/>
  </r>
  <r>
    <x v="142"/>
    <n v="30607"/>
  </r>
  <r>
    <x v="143"/>
    <n v="125036"/>
  </r>
  <r>
    <x v="131"/>
    <n v="168114"/>
  </r>
  <r>
    <x v="144"/>
    <n v="8400"/>
  </r>
  <r>
    <x v="145"/>
    <n v="24074"/>
  </r>
  <r>
    <x v="146"/>
    <n v="173480"/>
  </r>
  <r>
    <x v="147"/>
    <n v="81564.160000000003"/>
  </r>
  <r>
    <x v="148"/>
    <n v="6444.4"/>
  </r>
  <r>
    <x v="149"/>
    <n v="12000"/>
  </r>
  <r>
    <x v="102"/>
    <n v="13602"/>
  </r>
  <r>
    <x v="150"/>
    <n v="47736"/>
  </r>
  <r>
    <x v="151"/>
    <n v="40000"/>
  </r>
  <r>
    <x v="152"/>
    <n v="19760"/>
  </r>
  <r>
    <x v="153"/>
    <n v="734485"/>
  </r>
  <r>
    <x v="154"/>
    <n v="945500"/>
  </r>
  <r>
    <x v="155"/>
    <n v="6000"/>
  </r>
  <r>
    <x v="156"/>
    <n v="128860"/>
  </r>
  <r>
    <x v="157"/>
    <n v="197000"/>
  </r>
  <r>
    <x v="158"/>
    <n v="40250"/>
  </r>
  <r>
    <x v="159"/>
    <n v="777024"/>
  </r>
  <r>
    <x v="160"/>
    <n v="153225"/>
  </r>
  <r>
    <x v="161"/>
    <n v="108000"/>
  </r>
  <r>
    <x v="162"/>
    <n v="50600"/>
  </r>
  <r>
    <x v="134"/>
    <n v="47800"/>
  </r>
  <r>
    <x v="163"/>
    <n v="68000"/>
  </r>
  <r>
    <x v="164"/>
    <n v="168000"/>
  </r>
  <r>
    <x v="165"/>
    <n v="104500"/>
  </r>
  <r>
    <x v="103"/>
    <n v="460909"/>
  </r>
  <r>
    <x v="166"/>
    <n v="25200"/>
  </r>
  <r>
    <x v="167"/>
    <n v="735000"/>
  </r>
  <r>
    <x v="168"/>
    <n v="170000"/>
  </r>
  <r>
    <x v="169"/>
    <n v="321000"/>
  </r>
  <r>
    <x v="170"/>
    <n v="585000"/>
  </r>
  <r>
    <x v="171"/>
    <n v="11500"/>
  </r>
  <r>
    <x v="44"/>
    <n v="1365400"/>
  </r>
  <r>
    <x v="172"/>
    <n v="46500"/>
  </r>
  <r>
    <x v="173"/>
    <n v="5780"/>
  </r>
  <r>
    <x v="110"/>
    <n v="271000"/>
  </r>
  <r>
    <x v="93"/>
    <n v="8462755"/>
  </r>
  <r>
    <x v="125"/>
    <n v="25950"/>
  </r>
  <r>
    <x v="174"/>
    <n v="1300"/>
  </r>
  <r>
    <x v="175"/>
    <n v="4000"/>
  </r>
  <r>
    <x v="176"/>
    <n v="28200"/>
  </r>
  <r>
    <x v="177"/>
    <n v="1155050"/>
  </r>
  <r>
    <x v="129"/>
    <n v="582341"/>
  </r>
  <r>
    <x v="132"/>
    <n v="21000"/>
  </r>
  <r>
    <x v="102"/>
    <n v="12000"/>
  </r>
  <r>
    <x v="178"/>
    <n v="16700"/>
  </r>
  <r>
    <x v="134"/>
    <n v="2000"/>
  </r>
  <r>
    <x v="179"/>
    <n v="12000"/>
  </r>
  <r>
    <x v="135"/>
    <n v="84000"/>
  </r>
  <r>
    <x v="180"/>
    <m/>
  </r>
  <r>
    <x v="177"/>
    <n v="503397"/>
  </r>
  <r>
    <x v="181"/>
    <n v="1086175"/>
  </r>
  <r>
    <x v="182"/>
    <n v="430700"/>
  </r>
  <r>
    <x v="183"/>
    <n v="475"/>
  </r>
  <r>
    <x v="184"/>
    <n v="2893087.36"/>
  </r>
  <r>
    <x v="185"/>
    <n v="9289726"/>
  </r>
  <r>
    <x v="186"/>
    <n v="5070634"/>
  </r>
  <r>
    <x v="187"/>
    <n v="96900"/>
  </r>
  <r>
    <x v="188"/>
    <n v="2430726"/>
  </r>
  <r>
    <x v="189"/>
    <n v="3159329"/>
  </r>
  <r>
    <x v="190"/>
    <n v="2685011"/>
  </r>
  <r>
    <x v="191"/>
    <n v="14565"/>
  </r>
  <r>
    <x v="184"/>
    <n v="3013130"/>
  </r>
  <r>
    <x v="185"/>
    <n v="1311295"/>
  </r>
  <r>
    <x v="192"/>
    <n v="3252785"/>
  </r>
  <r>
    <x v="188"/>
    <n v="234300"/>
  </r>
  <r>
    <x v="189"/>
    <n v="3484675"/>
  </r>
  <r>
    <x v="181"/>
    <n v="2738425"/>
  </r>
  <r>
    <x v="193"/>
    <n v="190900"/>
  </r>
  <r>
    <x v="194"/>
    <n v="1874174"/>
  </r>
  <r>
    <x v="195"/>
    <n v="985733"/>
  </r>
  <r>
    <x v="190"/>
    <n v="832050"/>
  </r>
  <r>
    <x v="180"/>
    <m/>
  </r>
  <r>
    <x v="196"/>
    <n v="5607262.1500000004"/>
  </r>
  <r>
    <x v="197"/>
    <n v="5742269.7800000003"/>
  </r>
  <r>
    <x v="198"/>
    <n v="812230.48"/>
  </r>
  <r>
    <x v="199"/>
    <n v="417103"/>
  </r>
  <r>
    <x v="200"/>
    <n v="65500"/>
  </r>
  <r>
    <x v="201"/>
    <n v="500"/>
  </r>
  <r>
    <x v="202"/>
    <n v="100309"/>
  </r>
  <r>
    <x v="203"/>
    <n v="340"/>
  </r>
  <r>
    <x v="204"/>
    <n v="700"/>
  </r>
  <r>
    <x v="205"/>
    <n v="5200"/>
  </r>
  <r>
    <x v="206"/>
    <n v="60000"/>
  </r>
  <r>
    <x v="207"/>
    <n v="709.98"/>
  </r>
  <r>
    <x v="208"/>
    <n v="24976.91"/>
  </r>
  <r>
    <x v="209"/>
    <n v="1582237.2"/>
  </r>
  <r>
    <x v="210"/>
    <n v="72657.64"/>
  </r>
  <r>
    <x v="211"/>
    <n v="725"/>
  </r>
  <r>
    <x v="212"/>
    <n v="198547.20000000001"/>
  </r>
  <r>
    <x v="180"/>
    <m/>
  </r>
  <r>
    <x v="213"/>
    <n v="319.64999999999998"/>
  </r>
  <r>
    <x v="199"/>
    <n v="496246.81"/>
  </r>
  <r>
    <x v="214"/>
    <n v="170371"/>
  </r>
  <r>
    <x v="215"/>
    <n v="149739"/>
  </r>
  <r>
    <x v="216"/>
    <n v="305642.81"/>
  </r>
  <r>
    <x v="217"/>
    <n v="261320"/>
  </r>
  <r>
    <x v="218"/>
    <n v="117261"/>
  </r>
  <r>
    <x v="219"/>
    <n v="40369"/>
  </r>
  <r>
    <x v="220"/>
    <n v="106034.36"/>
  </r>
  <r>
    <x v="221"/>
    <n v="10000"/>
  </r>
  <r>
    <x v="222"/>
    <n v="15925"/>
  </r>
  <r>
    <x v="223"/>
    <n v="82308.509999999995"/>
  </r>
  <r>
    <x v="224"/>
    <n v="347424.28"/>
  </r>
  <r>
    <x v="225"/>
    <n v="202127"/>
  </r>
  <r>
    <x v="226"/>
    <n v="35337.160000000003"/>
  </r>
  <r>
    <x v="227"/>
    <n v="1277286.74"/>
  </r>
  <r>
    <x v="228"/>
    <n v="775240.52"/>
  </r>
  <r>
    <x v="229"/>
    <n v="480720.83"/>
  </r>
  <r>
    <x v="230"/>
    <n v="613527.79"/>
  </r>
  <r>
    <x v="231"/>
    <n v="343860"/>
  </r>
  <r>
    <x v="232"/>
    <n v="5845.23"/>
  </r>
  <r>
    <x v="233"/>
    <n v="650299"/>
  </r>
  <r>
    <x v="234"/>
    <n v="199836"/>
  </r>
  <r>
    <x v="235"/>
    <n v="820928.73"/>
  </r>
  <r>
    <x v="236"/>
    <n v="21945.42"/>
  </r>
  <r>
    <x v="237"/>
    <n v="313324.14"/>
  </r>
  <r>
    <x v="238"/>
    <n v="211742.63"/>
  </r>
  <r>
    <x v="239"/>
    <n v="25048"/>
  </r>
  <r>
    <x v="240"/>
    <n v="299887.15000000002"/>
  </r>
  <r>
    <x v="241"/>
    <n v="877923"/>
  </r>
  <r>
    <x v="242"/>
    <n v="157024.79"/>
  </r>
  <r>
    <x v="243"/>
    <n v="234437"/>
  </r>
  <r>
    <x v="244"/>
    <n v="891238.03"/>
  </r>
  <r>
    <x v="245"/>
    <n v="458504"/>
  </r>
  <r>
    <x v="246"/>
    <n v="647718"/>
  </r>
  <r>
    <x v="247"/>
    <n v="34317"/>
  </r>
  <r>
    <x v="248"/>
    <n v="12860.52"/>
  </r>
  <r>
    <x v="249"/>
    <n v="2991683"/>
  </r>
  <r>
    <x v="250"/>
    <n v="1881315"/>
  </r>
  <r>
    <x v="251"/>
    <n v="1842785"/>
  </r>
  <r>
    <x v="209"/>
    <n v="1403517.55"/>
  </r>
  <r>
    <x v="252"/>
    <n v="146822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x v="0"/>
    <n v="13625"/>
    <n v="0"/>
    <n v="0"/>
    <n v="0"/>
    <n v="0"/>
    <n v="13625"/>
    <n v="0"/>
    <n v="0"/>
    <n v="0"/>
    <n v="0"/>
  </r>
  <r>
    <x v="0"/>
    <x v="1"/>
    <n v="4307350"/>
    <n v="912190"/>
    <n v="1141200"/>
    <n v="900410"/>
    <n v="686000"/>
    <n v="667550"/>
    <n v="0"/>
    <n v="0"/>
    <n v="0"/>
    <n v="0"/>
  </r>
  <r>
    <x v="0"/>
    <x v="2"/>
    <n v="8815"/>
    <n v="0"/>
    <n v="0"/>
    <n v="0"/>
    <n v="0"/>
    <n v="3320"/>
    <n v="5495"/>
    <n v="0"/>
    <n v="0"/>
    <n v="0"/>
  </r>
  <r>
    <x v="0"/>
    <x v="3"/>
    <n v="86330"/>
    <n v="27230"/>
    <n v="59100"/>
    <n v="0"/>
    <n v="0"/>
    <n v="0"/>
    <n v="0"/>
    <n v="0"/>
    <n v="0"/>
    <n v="0"/>
  </r>
  <r>
    <x v="0"/>
    <x v="4"/>
    <n v="367278"/>
    <n v="183088"/>
    <n v="95800"/>
    <n v="0"/>
    <n v="88390"/>
    <n v="0"/>
    <n v="0"/>
    <n v="0"/>
    <n v="0"/>
    <n v="0"/>
  </r>
  <r>
    <x v="0"/>
    <x v="5"/>
    <n v="2754944.52"/>
    <n v="0"/>
    <n v="225100"/>
    <n v="0"/>
    <n v="186650"/>
    <n v="174300"/>
    <n v="1702445"/>
    <n v="466449.52"/>
    <n v="0"/>
    <n v="0"/>
  </r>
  <r>
    <x v="0"/>
    <x v="6"/>
    <n v="1025"/>
    <n v="0"/>
    <n v="0"/>
    <n v="0"/>
    <n v="0"/>
    <n v="0"/>
    <n v="1025"/>
    <n v="0"/>
    <n v="0"/>
    <n v="0"/>
  </r>
  <r>
    <x v="0"/>
    <x v="7"/>
    <n v="55445"/>
    <n v="55445"/>
    <n v="0"/>
    <n v="0"/>
    <n v="0"/>
    <n v="0"/>
    <n v="0"/>
    <n v="0"/>
    <n v="0"/>
    <n v="0"/>
  </r>
  <r>
    <x v="0"/>
    <x v="8"/>
    <n v="3950"/>
    <n v="0"/>
    <n v="0"/>
    <n v="0"/>
    <n v="3950"/>
    <n v="0"/>
    <n v="0"/>
    <n v="0"/>
    <n v="0"/>
    <n v="0"/>
  </r>
  <r>
    <x v="0"/>
    <x v="9"/>
    <n v="31300"/>
    <n v="0"/>
    <n v="0"/>
    <n v="31300"/>
    <n v="0"/>
    <n v="0"/>
    <n v="0"/>
    <n v="0"/>
    <n v="0"/>
    <n v="0"/>
  </r>
  <r>
    <x v="0"/>
    <x v="10"/>
    <n v="1280"/>
    <n v="0"/>
    <n v="0"/>
    <n v="0"/>
    <n v="0"/>
    <n v="0"/>
    <n v="1280"/>
    <n v="0"/>
    <n v="0"/>
    <n v="0"/>
  </r>
  <r>
    <x v="0"/>
    <x v="11"/>
    <n v="180"/>
    <n v="0"/>
    <n v="180"/>
    <n v="0"/>
    <n v="0"/>
    <n v="0"/>
    <n v="0"/>
    <n v="0"/>
    <n v="0"/>
    <n v="0"/>
  </r>
  <r>
    <x v="0"/>
    <x v="12"/>
    <n v="47355"/>
    <n v="0"/>
    <n v="0"/>
    <n v="0"/>
    <n v="0"/>
    <n v="0"/>
    <n v="47355"/>
    <n v="0"/>
    <n v="0"/>
    <n v="0"/>
  </r>
  <r>
    <x v="0"/>
    <x v="13"/>
    <n v="8185"/>
    <n v="0"/>
    <n v="0"/>
    <n v="0"/>
    <n v="8185"/>
    <n v="0"/>
    <n v="0"/>
    <n v="0"/>
    <n v="0"/>
    <n v="0"/>
  </r>
  <r>
    <x v="0"/>
    <x v="14"/>
    <n v="56995"/>
    <n v="0"/>
    <n v="0"/>
    <n v="0"/>
    <n v="4270"/>
    <n v="12315"/>
    <n v="40410"/>
    <n v="0"/>
    <n v="0"/>
    <n v="0"/>
  </r>
  <r>
    <x v="0"/>
    <x v="15"/>
    <n v="4590"/>
    <n v="0"/>
    <n v="0"/>
    <n v="4590"/>
    <n v="0"/>
    <n v="0"/>
    <n v="0"/>
    <n v="0"/>
    <n v="0"/>
    <n v="0"/>
  </r>
  <r>
    <x v="0"/>
    <x v="16"/>
    <n v="62003"/>
    <n v="0"/>
    <n v="0"/>
    <n v="0"/>
    <n v="0"/>
    <n v="62003"/>
    <n v="0"/>
    <n v="0"/>
    <n v="0"/>
    <n v="0"/>
  </r>
  <r>
    <x v="0"/>
    <x v="17"/>
    <n v="22780"/>
    <n v="0"/>
    <n v="0"/>
    <n v="0"/>
    <n v="0"/>
    <n v="0"/>
    <n v="0"/>
    <n v="0"/>
    <n v="0"/>
    <n v="22780"/>
  </r>
  <r>
    <x v="0"/>
    <x v="18"/>
    <n v="113005"/>
    <n v="0"/>
    <n v="0"/>
    <n v="0"/>
    <n v="0"/>
    <n v="112200"/>
    <n v="805"/>
    <n v="0"/>
    <n v="0"/>
    <n v="0"/>
  </r>
  <r>
    <x v="0"/>
    <x v="19"/>
    <n v="795"/>
    <n v="0"/>
    <n v="0"/>
    <n v="0"/>
    <n v="0"/>
    <n v="795"/>
    <n v="0"/>
    <n v="0"/>
    <n v="0"/>
    <n v="0"/>
  </r>
  <r>
    <x v="0"/>
    <x v="20"/>
    <n v="589294"/>
    <n v="0"/>
    <n v="0"/>
    <n v="415500"/>
    <n v="0"/>
    <n v="173794"/>
    <n v="0"/>
    <n v="0"/>
    <n v="0"/>
    <n v="0"/>
  </r>
  <r>
    <x v="0"/>
    <x v="21"/>
    <n v="10700"/>
    <n v="0"/>
    <n v="10700"/>
    <n v="0"/>
    <n v="0"/>
    <n v="0"/>
    <n v="0"/>
    <n v="0"/>
    <n v="0"/>
    <n v="0"/>
  </r>
  <r>
    <x v="0"/>
    <x v="22"/>
    <n v="2060"/>
    <n v="0"/>
    <n v="0"/>
    <n v="0"/>
    <n v="20"/>
    <n v="0"/>
    <n v="2040"/>
    <n v="0"/>
    <n v="0"/>
    <n v="0"/>
  </r>
  <r>
    <x v="0"/>
    <x v="23"/>
    <n v="7705"/>
    <n v="0"/>
    <n v="0"/>
    <n v="7705"/>
    <n v="0"/>
    <n v="0"/>
    <n v="0"/>
    <n v="0"/>
    <n v="0"/>
    <n v="0"/>
  </r>
  <r>
    <x v="0"/>
    <x v="24"/>
    <n v="2025"/>
    <n v="0"/>
    <n v="0"/>
    <n v="2025"/>
    <n v="0"/>
    <n v="0"/>
    <n v="0"/>
    <n v="0"/>
    <n v="0"/>
    <n v="0"/>
  </r>
  <r>
    <x v="0"/>
    <x v="25"/>
    <n v="13775"/>
    <n v="0"/>
    <n v="0"/>
    <n v="0"/>
    <n v="0"/>
    <n v="0"/>
    <n v="0"/>
    <n v="0"/>
    <n v="2600"/>
    <n v="11175"/>
  </r>
  <r>
    <x v="0"/>
    <x v="26"/>
    <n v="5928"/>
    <n v="0"/>
    <n v="0"/>
    <n v="0"/>
    <n v="0"/>
    <n v="0"/>
    <n v="5928"/>
    <n v="0"/>
    <n v="0"/>
    <n v="0"/>
  </r>
  <r>
    <x v="0"/>
    <x v="27"/>
    <n v="2345"/>
    <n v="2345"/>
    <n v="0"/>
    <n v="0"/>
    <n v="0"/>
    <n v="0"/>
    <n v="0"/>
    <n v="0"/>
    <n v="0"/>
    <n v="0"/>
  </r>
  <r>
    <x v="0"/>
    <x v="28"/>
    <n v="605"/>
    <n v="0"/>
    <n v="0"/>
    <n v="0"/>
    <n v="0"/>
    <n v="605"/>
    <n v="0"/>
    <n v="0"/>
    <n v="0"/>
    <n v="0"/>
  </r>
  <r>
    <x v="1"/>
    <x v="29"/>
    <n v="30300"/>
    <n v="0"/>
    <n v="0"/>
    <n v="0"/>
    <n v="0"/>
    <n v="0"/>
    <n v="0"/>
    <n v="0"/>
    <n v="30300"/>
    <n v="0"/>
  </r>
  <r>
    <x v="1"/>
    <x v="30"/>
    <n v="6570"/>
    <n v="0"/>
    <n v="0"/>
    <n v="0"/>
    <n v="0"/>
    <n v="0"/>
    <n v="0"/>
    <n v="0"/>
    <n v="6570"/>
    <n v="0"/>
  </r>
  <r>
    <x v="1"/>
    <x v="31"/>
    <n v="104690"/>
    <n v="0"/>
    <n v="0"/>
    <n v="0"/>
    <n v="0"/>
    <n v="0"/>
    <n v="0"/>
    <n v="0"/>
    <n v="76240"/>
    <n v="28450"/>
  </r>
  <r>
    <x v="1"/>
    <x v="32"/>
    <n v="54000"/>
    <n v="0"/>
    <n v="0"/>
    <n v="0"/>
    <n v="0"/>
    <n v="0"/>
    <n v="0"/>
    <n v="0"/>
    <n v="0"/>
    <n v="54000"/>
  </r>
  <r>
    <x v="1"/>
    <x v="33"/>
    <n v="599850"/>
    <n v="0"/>
    <n v="0"/>
    <n v="0"/>
    <n v="0"/>
    <n v="0"/>
    <n v="0"/>
    <n v="0"/>
    <n v="0"/>
    <n v="599850"/>
  </r>
  <r>
    <x v="1"/>
    <x v="34"/>
    <n v="8911"/>
    <n v="0"/>
    <n v="0"/>
    <n v="0"/>
    <n v="0"/>
    <n v="0"/>
    <n v="0"/>
    <n v="0"/>
    <n v="0"/>
    <n v="8911"/>
  </r>
  <r>
    <x v="1"/>
    <x v="35"/>
    <n v="933158"/>
    <n v="0"/>
    <n v="0"/>
    <n v="0"/>
    <n v="0"/>
    <n v="0"/>
    <n v="0"/>
    <n v="0"/>
    <n v="0"/>
    <n v="933158"/>
  </r>
  <r>
    <x v="1"/>
    <x v="36"/>
    <n v="306533"/>
    <n v="0"/>
    <n v="0"/>
    <n v="0"/>
    <n v="0"/>
    <n v="0"/>
    <n v="0"/>
    <n v="0"/>
    <n v="0"/>
    <n v="306533"/>
  </r>
  <r>
    <x v="1"/>
    <x v="37"/>
    <n v="183720"/>
    <n v="0"/>
    <n v="0"/>
    <n v="0"/>
    <n v="0"/>
    <n v="0"/>
    <n v="0"/>
    <n v="0"/>
    <n v="0"/>
    <n v="183720"/>
  </r>
  <r>
    <x v="1"/>
    <x v="38"/>
    <n v="52000"/>
    <n v="0"/>
    <n v="0"/>
    <n v="0"/>
    <n v="0"/>
    <n v="0"/>
    <n v="0"/>
    <n v="52000"/>
    <n v="0"/>
    <n v="0"/>
  </r>
  <r>
    <x v="1"/>
    <x v="39"/>
    <n v="511820"/>
    <n v="0"/>
    <n v="0"/>
    <n v="0"/>
    <n v="0"/>
    <n v="0"/>
    <n v="0"/>
    <n v="0"/>
    <n v="0"/>
    <n v="511820"/>
  </r>
  <r>
    <x v="1"/>
    <x v="40"/>
    <n v="461812"/>
    <n v="0"/>
    <n v="0"/>
    <n v="0"/>
    <n v="0"/>
    <n v="0"/>
    <n v="0"/>
    <n v="0"/>
    <n v="0"/>
    <n v="461812"/>
  </r>
  <r>
    <x v="1"/>
    <x v="41"/>
    <n v="900848"/>
    <n v="0"/>
    <n v="0"/>
    <n v="0"/>
    <n v="0"/>
    <n v="0"/>
    <n v="0"/>
    <n v="0"/>
    <n v="0"/>
    <n v="900848"/>
  </r>
  <r>
    <x v="1"/>
    <x v="42"/>
    <n v="1341583"/>
    <n v="0"/>
    <n v="0"/>
    <n v="0"/>
    <n v="0"/>
    <n v="0"/>
    <n v="0"/>
    <n v="0"/>
    <n v="668000"/>
    <n v="673583"/>
  </r>
  <r>
    <x v="1"/>
    <x v="43"/>
    <n v="13280"/>
    <n v="0"/>
    <n v="0"/>
    <n v="0"/>
    <n v="0"/>
    <n v="0"/>
    <n v="0"/>
    <n v="0"/>
    <n v="13280"/>
    <n v="0"/>
  </r>
  <r>
    <x v="1"/>
    <x v="44"/>
    <n v="753532"/>
    <n v="0"/>
    <n v="0"/>
    <n v="0"/>
    <n v="0"/>
    <n v="0"/>
    <n v="0"/>
    <n v="0"/>
    <n v="0"/>
    <n v="753532"/>
  </r>
  <r>
    <x v="1"/>
    <x v="45"/>
    <n v="131750"/>
    <n v="0"/>
    <n v="0"/>
    <n v="0"/>
    <n v="0"/>
    <n v="0"/>
    <n v="106925"/>
    <n v="0"/>
    <n v="0"/>
    <n v="24825"/>
  </r>
  <r>
    <x v="1"/>
    <x v="46"/>
    <n v="3222982"/>
    <n v="0"/>
    <n v="0"/>
    <n v="0"/>
    <n v="0"/>
    <n v="0"/>
    <n v="0"/>
    <n v="0"/>
    <n v="0"/>
    <n v="3222982"/>
  </r>
  <r>
    <x v="1"/>
    <x v="47"/>
    <n v="296940"/>
    <n v="0"/>
    <n v="0"/>
    <n v="0"/>
    <n v="0"/>
    <n v="0"/>
    <n v="0"/>
    <n v="0"/>
    <n v="0"/>
    <n v="296940"/>
  </r>
  <r>
    <x v="1"/>
    <x v="48"/>
    <n v="1639250"/>
    <n v="0"/>
    <n v="0"/>
    <n v="0"/>
    <n v="0"/>
    <n v="0"/>
    <n v="0"/>
    <n v="0"/>
    <n v="0"/>
    <n v="1639250"/>
  </r>
  <r>
    <x v="1"/>
    <x v="49"/>
    <n v="53935"/>
    <n v="0"/>
    <n v="0"/>
    <n v="0"/>
    <n v="0"/>
    <n v="0"/>
    <n v="0"/>
    <n v="0"/>
    <n v="53935"/>
    <n v="0"/>
  </r>
  <r>
    <x v="1"/>
    <x v="50"/>
    <n v="950"/>
    <n v="0"/>
    <n v="0"/>
    <n v="0"/>
    <n v="0"/>
    <n v="0"/>
    <n v="0"/>
    <n v="950"/>
    <n v="0"/>
    <n v="0"/>
  </r>
  <r>
    <x v="1"/>
    <x v="51"/>
    <n v="4350"/>
    <n v="0"/>
    <n v="0"/>
    <n v="0"/>
    <n v="0"/>
    <n v="0"/>
    <n v="0"/>
    <n v="4350"/>
    <n v="0"/>
    <n v="0"/>
  </r>
  <r>
    <x v="1"/>
    <x v="52"/>
    <n v="2000"/>
    <n v="0"/>
    <n v="0"/>
    <n v="0"/>
    <n v="0"/>
    <n v="0"/>
    <n v="385"/>
    <n v="1615"/>
    <n v="0"/>
    <n v="0"/>
  </r>
  <r>
    <x v="1"/>
    <x v="53"/>
    <n v="594147.4"/>
    <n v="0"/>
    <n v="0"/>
    <n v="0"/>
    <n v="0"/>
    <n v="0"/>
    <n v="0"/>
    <n v="0"/>
    <n v="0"/>
    <n v="594147.4"/>
  </r>
  <r>
    <x v="1"/>
    <x v="54"/>
    <n v="864426"/>
    <n v="0"/>
    <n v="0"/>
    <n v="0"/>
    <n v="0"/>
    <n v="0"/>
    <n v="0"/>
    <n v="864426"/>
    <n v="0"/>
    <n v="0"/>
  </r>
  <r>
    <x v="1"/>
    <x v="55"/>
    <n v="36700"/>
    <n v="0"/>
    <n v="0"/>
    <n v="0"/>
    <n v="0"/>
    <n v="0"/>
    <n v="0"/>
    <n v="0"/>
    <n v="0"/>
    <n v="36700"/>
  </r>
  <r>
    <x v="1"/>
    <x v="56"/>
    <n v="76200"/>
    <n v="0"/>
    <n v="0"/>
    <n v="0"/>
    <n v="0"/>
    <n v="0"/>
    <n v="0"/>
    <n v="0"/>
    <n v="0"/>
    <n v="76200"/>
  </r>
  <r>
    <x v="1"/>
    <x v="57"/>
    <n v="317430"/>
    <n v="0"/>
    <n v="0"/>
    <n v="0"/>
    <n v="0"/>
    <n v="0"/>
    <n v="0"/>
    <n v="0"/>
    <n v="0"/>
    <n v="317430"/>
  </r>
  <r>
    <x v="1"/>
    <x v="58"/>
    <n v="101265"/>
    <n v="0"/>
    <n v="0"/>
    <n v="0"/>
    <n v="0"/>
    <n v="0"/>
    <n v="0"/>
    <n v="0"/>
    <n v="0"/>
    <n v="101265"/>
  </r>
  <r>
    <x v="1"/>
    <x v="59"/>
    <n v="4000"/>
    <n v="0"/>
    <n v="0"/>
    <n v="0"/>
    <n v="0"/>
    <n v="0"/>
    <n v="0"/>
    <n v="0"/>
    <n v="4000"/>
    <n v="0"/>
  </r>
  <r>
    <x v="1"/>
    <x v="60"/>
    <n v="496253"/>
    <n v="0"/>
    <n v="0"/>
    <n v="0"/>
    <n v="0"/>
    <n v="0"/>
    <n v="0"/>
    <n v="0"/>
    <n v="0"/>
    <n v="496253"/>
  </r>
  <r>
    <x v="1"/>
    <x v="61"/>
    <n v="2610248"/>
    <n v="0"/>
    <n v="0"/>
    <n v="0"/>
    <n v="0"/>
    <n v="0"/>
    <n v="0"/>
    <n v="0"/>
    <n v="0"/>
    <n v="2610248"/>
  </r>
  <r>
    <x v="1"/>
    <x v="62"/>
    <n v="528500"/>
    <n v="0"/>
    <n v="0"/>
    <n v="0"/>
    <n v="0"/>
    <n v="0"/>
    <n v="0"/>
    <n v="0"/>
    <n v="0"/>
    <n v="528500"/>
  </r>
  <r>
    <x v="1"/>
    <x v="63"/>
    <n v="688177"/>
    <n v="0"/>
    <n v="0"/>
    <n v="0"/>
    <n v="0"/>
    <n v="0"/>
    <n v="0"/>
    <n v="0"/>
    <n v="0"/>
    <n v="688177"/>
  </r>
  <r>
    <x v="1"/>
    <x v="64"/>
    <n v="23175"/>
    <n v="0"/>
    <n v="0"/>
    <n v="0"/>
    <n v="0"/>
    <n v="0"/>
    <n v="0"/>
    <n v="0"/>
    <n v="23175"/>
    <n v="0"/>
  </r>
  <r>
    <x v="1"/>
    <x v="65"/>
    <n v="47200"/>
    <n v="0"/>
    <n v="0"/>
    <n v="0"/>
    <n v="0"/>
    <n v="0"/>
    <n v="0"/>
    <n v="0"/>
    <n v="0"/>
    <n v="47200"/>
  </r>
  <r>
    <x v="1"/>
    <x v="66"/>
    <n v="45014"/>
    <n v="0"/>
    <n v="0"/>
    <n v="0"/>
    <n v="0"/>
    <n v="0"/>
    <n v="0"/>
    <n v="0"/>
    <n v="0"/>
    <n v="45014"/>
  </r>
  <r>
    <x v="1"/>
    <x v="67"/>
    <n v="51000"/>
    <n v="0"/>
    <n v="0"/>
    <n v="0"/>
    <n v="0"/>
    <n v="0"/>
    <n v="0"/>
    <n v="0"/>
    <n v="0"/>
    <n v="51000"/>
  </r>
  <r>
    <x v="1"/>
    <x v="68"/>
    <n v="235925"/>
    <n v="0"/>
    <n v="0"/>
    <n v="0"/>
    <n v="0"/>
    <n v="0"/>
    <n v="0"/>
    <n v="0"/>
    <n v="0"/>
    <n v="235925"/>
  </r>
  <r>
    <x v="1"/>
    <x v="69"/>
    <n v="755000"/>
    <n v="0"/>
    <n v="0"/>
    <n v="0"/>
    <n v="0"/>
    <n v="0"/>
    <n v="0"/>
    <n v="0"/>
    <n v="0"/>
    <n v="755000"/>
  </r>
  <r>
    <x v="1"/>
    <x v="70"/>
    <n v="63075"/>
    <n v="0"/>
    <n v="0"/>
    <n v="0"/>
    <n v="0"/>
    <n v="0"/>
    <n v="0"/>
    <n v="0"/>
    <n v="48450"/>
    <n v="14625"/>
  </r>
  <r>
    <x v="1"/>
    <x v="71"/>
    <n v="14160"/>
    <n v="0"/>
    <n v="0"/>
    <n v="0"/>
    <n v="0"/>
    <n v="0"/>
    <n v="0"/>
    <n v="0"/>
    <n v="0"/>
    <n v="14160"/>
  </r>
  <r>
    <x v="1"/>
    <x v="72"/>
    <n v="3940"/>
    <n v="0"/>
    <n v="0"/>
    <n v="0"/>
    <n v="0"/>
    <n v="0"/>
    <n v="3940"/>
    <n v="0"/>
    <n v="0"/>
    <n v="0"/>
  </r>
  <r>
    <x v="1"/>
    <x v="73"/>
    <n v="24960"/>
    <n v="0"/>
    <n v="0"/>
    <n v="0"/>
    <n v="0"/>
    <n v="0"/>
    <n v="0"/>
    <n v="0"/>
    <n v="0"/>
    <n v="24960"/>
  </r>
  <r>
    <x v="1"/>
    <x v="74"/>
    <n v="119005.51"/>
    <n v="0"/>
    <n v="0"/>
    <n v="0"/>
    <n v="0"/>
    <n v="0"/>
    <n v="0"/>
    <n v="0"/>
    <n v="0"/>
    <n v="119005.51"/>
  </r>
  <r>
    <x v="1"/>
    <x v="75"/>
    <n v="215059"/>
    <n v="0"/>
    <n v="0"/>
    <n v="0"/>
    <n v="0"/>
    <n v="0"/>
    <n v="0"/>
    <n v="0"/>
    <n v="0"/>
    <n v="215059"/>
  </r>
  <r>
    <x v="1"/>
    <x v="76"/>
    <n v="1330"/>
    <n v="0"/>
    <n v="0"/>
    <n v="0"/>
    <n v="0"/>
    <n v="0"/>
    <n v="1330"/>
    <n v="0"/>
    <n v="0"/>
    <n v="0"/>
  </r>
  <r>
    <x v="1"/>
    <x v="77"/>
    <n v="241849"/>
    <n v="0"/>
    <n v="0"/>
    <n v="0"/>
    <n v="0"/>
    <n v="0"/>
    <n v="0"/>
    <n v="0"/>
    <n v="0"/>
    <n v="241849"/>
  </r>
  <r>
    <x v="1"/>
    <x v="78"/>
    <n v="356899"/>
    <n v="0"/>
    <n v="0"/>
    <n v="0"/>
    <n v="0"/>
    <n v="0"/>
    <n v="0"/>
    <n v="0"/>
    <n v="0"/>
    <n v="356899"/>
  </r>
  <r>
    <x v="1"/>
    <x v="79"/>
    <n v="653616"/>
    <n v="0"/>
    <n v="0"/>
    <n v="0"/>
    <n v="0"/>
    <n v="0"/>
    <n v="0"/>
    <n v="0"/>
    <n v="0"/>
    <n v="653616"/>
  </r>
  <r>
    <x v="1"/>
    <x v="80"/>
    <n v="1304929"/>
    <n v="0"/>
    <n v="0"/>
    <n v="0"/>
    <n v="0"/>
    <n v="0"/>
    <n v="0"/>
    <n v="0"/>
    <n v="0"/>
    <n v="1304929"/>
  </r>
  <r>
    <x v="1"/>
    <x v="81"/>
    <n v="874075"/>
    <n v="0"/>
    <n v="0"/>
    <n v="0"/>
    <n v="0"/>
    <n v="0"/>
    <n v="0"/>
    <n v="0"/>
    <n v="0"/>
    <n v="874075"/>
  </r>
  <r>
    <x v="1"/>
    <x v="82"/>
    <n v="18295"/>
    <n v="0"/>
    <n v="0"/>
    <n v="0"/>
    <n v="0"/>
    <n v="0"/>
    <n v="0"/>
    <n v="0"/>
    <n v="18295"/>
    <n v="0"/>
  </r>
  <r>
    <x v="1"/>
    <x v="83"/>
    <n v="223000"/>
    <n v="0"/>
    <n v="0"/>
    <n v="0"/>
    <n v="0"/>
    <n v="0"/>
    <n v="0"/>
    <n v="0"/>
    <n v="0"/>
    <n v="223000"/>
  </r>
  <r>
    <x v="1"/>
    <x v="84"/>
    <n v="840572"/>
    <n v="0"/>
    <n v="0"/>
    <n v="0"/>
    <n v="0"/>
    <n v="0"/>
    <n v="0"/>
    <n v="0"/>
    <n v="0"/>
    <n v="840572"/>
  </r>
  <r>
    <x v="1"/>
    <x v="85"/>
    <n v="105900"/>
    <n v="0"/>
    <n v="0"/>
    <n v="0"/>
    <n v="0"/>
    <n v="0"/>
    <n v="0"/>
    <n v="0"/>
    <n v="0"/>
    <n v="105900"/>
  </r>
  <r>
    <x v="1"/>
    <x v="86"/>
    <n v="823063"/>
    <n v="0"/>
    <n v="0"/>
    <n v="0"/>
    <n v="0"/>
    <n v="0"/>
    <n v="0"/>
    <n v="0"/>
    <n v="0"/>
    <n v="823063"/>
  </r>
  <r>
    <x v="1"/>
    <x v="87"/>
    <n v="786840"/>
    <n v="0"/>
    <n v="0"/>
    <n v="0"/>
    <n v="0"/>
    <n v="0"/>
    <n v="0"/>
    <n v="0"/>
    <n v="0"/>
    <n v="786840"/>
  </r>
  <r>
    <x v="1"/>
    <x v="88"/>
    <n v="34169.68"/>
    <n v="0"/>
    <n v="0"/>
    <n v="0"/>
    <n v="0"/>
    <n v="0"/>
    <n v="0"/>
    <n v="0"/>
    <n v="0"/>
    <n v="34169.68"/>
  </r>
  <r>
    <x v="1"/>
    <x v="89"/>
    <n v="92625"/>
    <n v="0"/>
    <n v="0"/>
    <n v="0"/>
    <n v="0"/>
    <n v="0"/>
    <n v="0"/>
    <n v="0"/>
    <n v="0"/>
    <n v="92625"/>
  </r>
  <r>
    <x v="1"/>
    <x v="90"/>
    <n v="814865"/>
    <n v="0"/>
    <n v="0"/>
    <n v="0"/>
    <n v="0"/>
    <n v="0"/>
    <n v="0"/>
    <n v="0"/>
    <n v="0"/>
    <n v="814865"/>
  </r>
  <r>
    <x v="1"/>
    <x v="91"/>
    <n v="66000"/>
    <n v="0"/>
    <n v="0"/>
    <n v="0"/>
    <n v="0"/>
    <n v="0"/>
    <n v="63900"/>
    <n v="2100"/>
    <n v="0"/>
    <n v="0"/>
  </r>
  <r>
    <x v="1"/>
    <x v="92"/>
    <n v="12375"/>
    <n v="0"/>
    <n v="0"/>
    <n v="0"/>
    <n v="0"/>
    <n v="0"/>
    <n v="0"/>
    <n v="0"/>
    <n v="12375"/>
    <n v="0"/>
  </r>
  <r>
    <x v="1"/>
    <x v="93"/>
    <n v="6510"/>
    <n v="0"/>
    <n v="0"/>
    <n v="0"/>
    <n v="0"/>
    <n v="0"/>
    <n v="0"/>
    <n v="0"/>
    <n v="0"/>
    <n v="6510"/>
  </r>
  <r>
    <x v="1"/>
    <x v="94"/>
    <n v="1366469"/>
    <n v="0"/>
    <n v="0"/>
    <n v="0"/>
    <n v="0"/>
    <n v="0"/>
    <n v="0"/>
    <n v="0"/>
    <n v="0"/>
    <n v="1366469"/>
  </r>
  <r>
    <x v="1"/>
    <x v="95"/>
    <n v="30300"/>
    <n v="0"/>
    <n v="0"/>
    <n v="0"/>
    <n v="0"/>
    <n v="0"/>
    <n v="0"/>
    <n v="0"/>
    <n v="0"/>
    <n v="30300"/>
  </r>
  <r>
    <x v="1"/>
    <x v="96"/>
    <n v="10495"/>
    <n v="0"/>
    <n v="0"/>
    <n v="0"/>
    <n v="0"/>
    <n v="0"/>
    <n v="0"/>
    <n v="2580"/>
    <n v="7915"/>
    <n v="0"/>
  </r>
  <r>
    <x v="1"/>
    <x v="97"/>
    <n v="349514"/>
    <n v="0"/>
    <n v="0"/>
    <n v="0"/>
    <n v="0"/>
    <n v="0"/>
    <n v="0"/>
    <n v="0"/>
    <n v="349514"/>
    <n v="0"/>
  </r>
  <r>
    <x v="1"/>
    <x v="98"/>
    <n v="2320224"/>
    <n v="0"/>
    <n v="0"/>
    <n v="0"/>
    <n v="0"/>
    <n v="0"/>
    <n v="0"/>
    <n v="0"/>
    <n v="0"/>
    <n v="2320224"/>
  </r>
  <r>
    <x v="1"/>
    <x v="99"/>
    <n v="140880"/>
    <n v="0"/>
    <n v="0"/>
    <n v="0"/>
    <n v="0"/>
    <n v="0"/>
    <n v="0"/>
    <n v="0"/>
    <n v="0"/>
    <n v="140880"/>
  </r>
  <r>
    <x v="1"/>
    <x v="100"/>
    <n v="1550"/>
    <n v="0"/>
    <n v="0"/>
    <n v="0"/>
    <n v="0"/>
    <n v="0"/>
    <n v="0"/>
    <n v="0"/>
    <n v="1550"/>
    <n v="0"/>
  </r>
  <r>
    <x v="2"/>
    <x v="101"/>
    <n v="5950"/>
    <n v="0"/>
    <n v="5950"/>
    <n v="0"/>
    <n v="0"/>
    <n v="0"/>
    <n v="0"/>
    <n v="0"/>
    <n v="0"/>
    <n v="0"/>
  </r>
  <r>
    <x v="3"/>
    <x v="102"/>
    <n v="6650"/>
    <n v="0"/>
    <n v="0"/>
    <n v="0"/>
    <n v="0"/>
    <n v="0"/>
    <n v="0"/>
    <n v="0"/>
    <n v="0"/>
    <n v="6650"/>
  </r>
  <r>
    <x v="3"/>
    <x v="103"/>
    <n v="436800"/>
    <n v="0"/>
    <n v="0"/>
    <n v="0"/>
    <n v="0"/>
    <n v="0"/>
    <n v="0"/>
    <n v="0"/>
    <n v="0"/>
    <n v="436800"/>
  </r>
  <r>
    <x v="0"/>
    <x v="104"/>
    <n v="59400"/>
    <n v="0"/>
    <n v="0"/>
    <n v="45000"/>
    <n v="14400"/>
    <n v="0"/>
    <n v="0"/>
    <n v="0"/>
    <n v="0"/>
    <n v="0"/>
  </r>
  <r>
    <x v="0"/>
    <x v="105"/>
    <n v="133500"/>
    <n v="133500"/>
    <n v="0"/>
    <n v="0"/>
    <n v="0"/>
    <n v="0"/>
    <n v="0"/>
    <n v="0"/>
    <n v="0"/>
    <n v="0"/>
  </r>
  <r>
    <x v="0"/>
    <x v="106"/>
    <n v="21500"/>
    <n v="0"/>
    <n v="0"/>
    <n v="0"/>
    <n v="0"/>
    <n v="0"/>
    <n v="21500"/>
    <n v="0"/>
    <n v="0"/>
    <n v="0"/>
  </r>
  <r>
    <x v="0"/>
    <x v="107"/>
    <n v="92049"/>
    <n v="68250"/>
    <n v="0"/>
    <n v="0"/>
    <n v="23799"/>
    <n v="0"/>
    <n v="0"/>
    <n v="0"/>
    <n v="0"/>
    <n v="0"/>
  </r>
  <r>
    <x v="0"/>
    <x v="108"/>
    <n v="29400"/>
    <n v="29400"/>
    <n v="0"/>
    <n v="0"/>
    <n v="0"/>
    <n v="0"/>
    <n v="0"/>
    <n v="0"/>
    <n v="0"/>
    <n v="0"/>
  </r>
  <r>
    <x v="0"/>
    <x v="109"/>
    <n v="842606"/>
    <n v="0"/>
    <n v="842606"/>
    <n v="0"/>
    <n v="0"/>
    <n v="0"/>
    <n v="0"/>
    <n v="0"/>
    <n v="0"/>
    <n v="0"/>
  </r>
  <r>
    <x v="0"/>
    <x v="110"/>
    <n v="24151"/>
    <n v="0"/>
    <n v="0"/>
    <n v="0"/>
    <n v="24151"/>
    <n v="0"/>
    <n v="0"/>
    <n v="0"/>
    <n v="0"/>
    <n v="0"/>
  </r>
  <r>
    <x v="0"/>
    <x v="93"/>
    <n v="1000"/>
    <n v="1000"/>
    <n v="0"/>
    <n v="0"/>
    <n v="0"/>
    <n v="0"/>
    <n v="0"/>
    <n v="0"/>
    <n v="0"/>
    <n v="0"/>
  </r>
  <r>
    <x v="1"/>
    <x v="111"/>
    <n v="121200"/>
    <n v="0"/>
    <n v="0"/>
    <n v="0"/>
    <n v="0"/>
    <n v="0"/>
    <n v="121200"/>
    <n v="0"/>
    <n v="0"/>
    <n v="0"/>
  </r>
  <r>
    <x v="1"/>
    <x v="112"/>
    <n v="32650"/>
    <n v="0"/>
    <n v="0"/>
    <n v="0"/>
    <n v="0"/>
    <n v="0"/>
    <n v="0"/>
    <n v="0"/>
    <n v="0"/>
    <n v="32650"/>
  </r>
  <r>
    <x v="1"/>
    <x v="113"/>
    <n v="94800"/>
    <n v="0"/>
    <n v="0"/>
    <n v="0"/>
    <n v="0"/>
    <n v="0"/>
    <n v="0"/>
    <n v="0"/>
    <n v="0"/>
    <n v="94800"/>
  </r>
  <r>
    <x v="1"/>
    <x v="114"/>
    <n v="138888"/>
    <n v="0"/>
    <n v="0"/>
    <n v="0"/>
    <n v="0"/>
    <n v="0"/>
    <n v="0"/>
    <n v="138888"/>
    <n v="0"/>
    <n v="0"/>
  </r>
  <r>
    <x v="1"/>
    <x v="9"/>
    <n v="1700"/>
    <n v="0"/>
    <n v="0"/>
    <n v="0"/>
    <n v="0"/>
    <n v="0"/>
    <n v="0"/>
    <n v="0"/>
    <n v="1700"/>
    <n v="0"/>
  </r>
  <r>
    <x v="1"/>
    <x v="115"/>
    <n v="455999"/>
    <n v="0"/>
    <n v="0"/>
    <n v="0"/>
    <n v="0"/>
    <n v="0"/>
    <n v="0"/>
    <n v="0"/>
    <n v="0"/>
    <n v="455999"/>
  </r>
  <r>
    <x v="1"/>
    <x v="116"/>
    <n v="66297"/>
    <n v="0"/>
    <n v="0"/>
    <n v="0"/>
    <n v="0"/>
    <n v="0"/>
    <n v="0"/>
    <n v="0"/>
    <n v="0"/>
    <n v="66297"/>
  </r>
  <r>
    <x v="1"/>
    <x v="117"/>
    <n v="347500"/>
    <n v="0"/>
    <n v="0"/>
    <n v="0"/>
    <n v="0"/>
    <n v="0"/>
    <n v="0"/>
    <n v="0"/>
    <n v="0"/>
    <n v="347500"/>
  </r>
  <r>
    <x v="1"/>
    <x v="118"/>
    <n v="414295"/>
    <n v="0"/>
    <n v="0"/>
    <n v="0"/>
    <n v="0"/>
    <n v="0"/>
    <n v="0"/>
    <n v="0"/>
    <n v="0"/>
    <n v="414295"/>
  </r>
  <r>
    <x v="1"/>
    <x v="119"/>
    <n v="94150"/>
    <n v="0"/>
    <n v="0"/>
    <n v="0"/>
    <n v="0"/>
    <n v="0"/>
    <n v="0"/>
    <n v="0"/>
    <n v="0"/>
    <n v="94150"/>
  </r>
  <r>
    <x v="1"/>
    <x v="120"/>
    <n v="7750"/>
    <n v="0"/>
    <n v="0"/>
    <n v="0"/>
    <n v="0"/>
    <n v="0"/>
    <n v="0"/>
    <n v="0"/>
    <n v="0"/>
    <n v="7750"/>
  </r>
  <r>
    <x v="1"/>
    <x v="121"/>
    <n v="56826"/>
    <n v="0"/>
    <n v="0"/>
    <n v="0"/>
    <n v="0"/>
    <n v="0"/>
    <n v="0"/>
    <n v="0"/>
    <n v="56826"/>
    <n v="0"/>
  </r>
  <r>
    <x v="1"/>
    <x v="122"/>
    <n v="221525"/>
    <n v="0"/>
    <n v="0"/>
    <n v="0"/>
    <n v="0"/>
    <n v="0"/>
    <n v="0"/>
    <n v="0"/>
    <n v="0"/>
    <n v="221525"/>
  </r>
  <r>
    <x v="1"/>
    <x v="123"/>
    <n v="39921.339999999997"/>
    <n v="0"/>
    <n v="0"/>
    <n v="0"/>
    <n v="0"/>
    <n v="0"/>
    <n v="0"/>
    <n v="11250"/>
    <n v="0"/>
    <n v="28671.34"/>
  </r>
  <r>
    <x v="1"/>
    <x v="124"/>
    <n v="1679384"/>
    <n v="0"/>
    <n v="0"/>
    <n v="0"/>
    <n v="0"/>
    <n v="0"/>
    <n v="0"/>
    <n v="0"/>
    <n v="0"/>
    <n v="1679384"/>
  </r>
  <r>
    <x v="1"/>
    <x v="125"/>
    <n v="34900"/>
    <n v="0"/>
    <n v="0"/>
    <n v="0"/>
    <n v="0"/>
    <n v="0"/>
    <n v="0"/>
    <n v="0"/>
    <n v="4730"/>
    <n v="30170"/>
  </r>
  <r>
    <x v="1"/>
    <x v="97"/>
    <n v="91772"/>
    <n v="0"/>
    <n v="0"/>
    <n v="0"/>
    <n v="0"/>
    <n v="0"/>
    <n v="0"/>
    <n v="0"/>
    <n v="272"/>
    <n v="91500"/>
  </r>
  <r>
    <x v="4"/>
    <x v="126"/>
    <n v="95"/>
    <n v="95"/>
    <n v="0"/>
    <n v="0"/>
    <n v="0"/>
    <n v="0"/>
    <n v="0"/>
    <n v="0"/>
    <n v="0"/>
    <n v="0"/>
  </r>
  <r>
    <x v="2"/>
    <x v="127"/>
    <n v="1319600"/>
    <n v="1316500"/>
    <n v="0"/>
    <n v="3100"/>
    <n v="0"/>
    <n v="0"/>
    <n v="0"/>
    <n v="0"/>
    <n v="0"/>
    <n v="0"/>
  </r>
  <r>
    <x v="2"/>
    <x v="128"/>
    <n v="342500"/>
    <n v="342500"/>
    <n v="0"/>
    <n v="0"/>
    <n v="0"/>
    <n v="0"/>
    <n v="0"/>
    <n v="0"/>
    <n v="0"/>
    <n v="0"/>
  </r>
  <r>
    <x v="2"/>
    <x v="129"/>
    <n v="2801980.25"/>
    <n v="0"/>
    <n v="0"/>
    <n v="77825"/>
    <n v="0"/>
    <n v="0"/>
    <n v="468450"/>
    <n v="1196972.25"/>
    <n v="1058733"/>
    <n v="0"/>
  </r>
  <r>
    <x v="3"/>
    <x v="130"/>
    <n v="4550"/>
    <n v="0"/>
    <n v="0"/>
    <n v="0"/>
    <n v="0"/>
    <n v="0"/>
    <n v="0"/>
    <n v="0"/>
    <n v="0"/>
    <n v="4550"/>
  </r>
  <r>
    <x v="3"/>
    <x v="131"/>
    <n v="12300"/>
    <n v="0"/>
    <n v="0"/>
    <n v="0"/>
    <n v="0"/>
    <n v="0"/>
    <n v="0"/>
    <n v="0"/>
    <n v="0"/>
    <n v="12300"/>
  </r>
  <r>
    <x v="3"/>
    <x v="132"/>
    <n v="114750"/>
    <n v="0"/>
    <n v="0"/>
    <n v="0"/>
    <n v="0"/>
    <n v="0"/>
    <n v="0"/>
    <n v="0"/>
    <n v="0"/>
    <n v="114750"/>
  </r>
  <r>
    <x v="3"/>
    <x v="133"/>
    <n v="28025"/>
    <n v="0"/>
    <n v="0"/>
    <n v="0"/>
    <n v="0"/>
    <n v="0"/>
    <n v="0"/>
    <n v="0"/>
    <n v="0"/>
    <n v="28025"/>
  </r>
  <r>
    <x v="3"/>
    <x v="134"/>
    <n v="18000"/>
    <n v="0"/>
    <n v="0"/>
    <n v="0"/>
    <n v="0"/>
    <n v="0"/>
    <n v="0"/>
    <n v="0"/>
    <n v="0"/>
    <n v="18000"/>
  </r>
  <r>
    <x v="3"/>
    <x v="135"/>
    <n v="309520"/>
    <n v="0"/>
    <n v="0"/>
    <n v="0"/>
    <n v="0"/>
    <n v="0"/>
    <n v="0"/>
    <n v="0"/>
    <n v="0"/>
    <n v="309520"/>
  </r>
  <r>
    <x v="3"/>
    <x v="136"/>
    <n v="6150"/>
    <n v="0"/>
    <n v="0"/>
    <n v="0"/>
    <n v="0"/>
    <n v="0"/>
    <n v="0"/>
    <n v="0"/>
    <n v="0"/>
    <n v="6150"/>
  </r>
  <r>
    <x v="5"/>
    <x v="137"/>
    <n v="64450"/>
    <n v="0"/>
    <n v="0"/>
    <n v="0"/>
    <n v="0"/>
    <n v="64450"/>
    <n v="0"/>
    <n v="0"/>
    <n v="0"/>
    <n v="0"/>
  </r>
  <r>
    <x v="0"/>
    <x v="138"/>
    <n v="1635149.84"/>
    <n v="67625"/>
    <n v="153650"/>
    <n v="316125"/>
    <n v="171150"/>
    <n v="715750"/>
    <n v="210849.84"/>
    <n v="0"/>
    <n v="0"/>
    <n v="0"/>
  </r>
  <r>
    <x v="0"/>
    <x v="105"/>
    <n v="4837099"/>
    <n v="136500"/>
    <n v="283620"/>
    <n v="585945"/>
    <n v="261600"/>
    <n v="1262250"/>
    <n v="1394260"/>
    <n v="912924"/>
    <n v="0"/>
    <n v="0"/>
  </r>
  <r>
    <x v="1"/>
    <x v="139"/>
    <n v="236276.25"/>
    <n v="0"/>
    <n v="0"/>
    <n v="0"/>
    <n v="0"/>
    <n v="0"/>
    <n v="0"/>
    <n v="0"/>
    <n v="236276.25"/>
    <n v="0"/>
  </r>
  <r>
    <x v="1"/>
    <x v="140"/>
    <n v="335497"/>
    <n v="0"/>
    <n v="0"/>
    <n v="0"/>
    <n v="0"/>
    <n v="0"/>
    <n v="0"/>
    <n v="0"/>
    <n v="0"/>
    <n v="335497"/>
  </r>
  <r>
    <x v="1"/>
    <x v="141"/>
    <n v="75494"/>
    <n v="0"/>
    <n v="0"/>
    <n v="0"/>
    <n v="0"/>
    <n v="0"/>
    <n v="0"/>
    <n v="0"/>
    <n v="0"/>
    <n v="75494"/>
  </r>
  <r>
    <x v="6"/>
    <x v="142"/>
    <n v="30607"/>
    <n v="30607"/>
    <n v="0"/>
    <n v="0"/>
    <n v="0"/>
    <n v="0"/>
    <n v="0"/>
    <n v="0"/>
    <n v="0"/>
    <n v="0"/>
  </r>
  <r>
    <x v="3"/>
    <x v="143"/>
    <n v="125036"/>
    <n v="0"/>
    <n v="0"/>
    <n v="0"/>
    <n v="0"/>
    <n v="0"/>
    <n v="0"/>
    <n v="0"/>
    <n v="125036"/>
    <n v="0"/>
  </r>
  <r>
    <x v="3"/>
    <x v="131"/>
    <n v="168114"/>
    <n v="0"/>
    <n v="0"/>
    <n v="0"/>
    <n v="0"/>
    <n v="0"/>
    <n v="0"/>
    <n v="0"/>
    <n v="168114"/>
    <n v="0"/>
  </r>
  <r>
    <x v="3"/>
    <x v="144"/>
    <n v="8400"/>
    <n v="0"/>
    <n v="0"/>
    <n v="0"/>
    <n v="0"/>
    <n v="0"/>
    <n v="0"/>
    <n v="0"/>
    <n v="0"/>
    <n v="8400"/>
  </r>
  <r>
    <x v="3"/>
    <x v="145"/>
    <n v="24074"/>
    <n v="0"/>
    <n v="0"/>
    <n v="0"/>
    <n v="0"/>
    <n v="0"/>
    <n v="0"/>
    <n v="0"/>
    <n v="23124"/>
    <n v="950"/>
  </r>
  <r>
    <x v="3"/>
    <x v="146"/>
    <n v="173480"/>
    <n v="0"/>
    <n v="0"/>
    <n v="0"/>
    <n v="0"/>
    <n v="0"/>
    <n v="0"/>
    <n v="0"/>
    <n v="173480"/>
    <n v="0"/>
  </r>
  <r>
    <x v="3"/>
    <x v="147"/>
    <n v="81564.160000000003"/>
    <n v="0"/>
    <n v="0"/>
    <n v="0"/>
    <n v="0"/>
    <n v="0"/>
    <n v="0"/>
    <n v="0"/>
    <n v="81564.160000000003"/>
    <n v="0"/>
  </r>
  <r>
    <x v="3"/>
    <x v="148"/>
    <n v="6444.4"/>
    <n v="0"/>
    <n v="0"/>
    <n v="0"/>
    <n v="0"/>
    <n v="0"/>
    <n v="0"/>
    <n v="0"/>
    <n v="0"/>
    <n v="6444.4"/>
  </r>
  <r>
    <x v="3"/>
    <x v="149"/>
    <n v="12000"/>
    <n v="0"/>
    <n v="0"/>
    <n v="0"/>
    <n v="0"/>
    <n v="0"/>
    <n v="0"/>
    <n v="0"/>
    <n v="0"/>
    <n v="12000"/>
  </r>
  <r>
    <x v="3"/>
    <x v="102"/>
    <n v="13602"/>
    <n v="0"/>
    <n v="0"/>
    <n v="0"/>
    <n v="0"/>
    <n v="0"/>
    <n v="0"/>
    <n v="0"/>
    <n v="0"/>
    <n v="13602"/>
  </r>
  <r>
    <x v="3"/>
    <x v="150"/>
    <n v="47736"/>
    <n v="0"/>
    <n v="0"/>
    <n v="0"/>
    <n v="0"/>
    <n v="0"/>
    <n v="0"/>
    <n v="0"/>
    <n v="0"/>
    <n v="47736"/>
  </r>
  <r>
    <x v="3"/>
    <x v="151"/>
    <n v="40000"/>
    <n v="0"/>
    <n v="0"/>
    <n v="0"/>
    <n v="0"/>
    <n v="0"/>
    <n v="0"/>
    <n v="0"/>
    <n v="0"/>
    <n v="40000"/>
  </r>
  <r>
    <x v="3"/>
    <x v="152"/>
    <n v="19760"/>
    <n v="0"/>
    <n v="0"/>
    <n v="0"/>
    <n v="0"/>
    <n v="0"/>
    <n v="0"/>
    <n v="0"/>
    <n v="0"/>
    <n v="19760"/>
  </r>
  <r>
    <x v="3"/>
    <x v="153"/>
    <n v="734485"/>
    <n v="0"/>
    <n v="0"/>
    <n v="0"/>
    <n v="0"/>
    <n v="0"/>
    <n v="0"/>
    <n v="0"/>
    <n v="0"/>
    <n v="734485"/>
  </r>
  <r>
    <x v="3"/>
    <x v="154"/>
    <n v="945500"/>
    <n v="0"/>
    <n v="0"/>
    <n v="0"/>
    <n v="0"/>
    <n v="0"/>
    <n v="0"/>
    <n v="0"/>
    <n v="945500"/>
    <n v="0"/>
  </r>
  <r>
    <x v="3"/>
    <x v="155"/>
    <n v="6000"/>
    <n v="0"/>
    <n v="0"/>
    <n v="0"/>
    <n v="0"/>
    <n v="0"/>
    <n v="0"/>
    <n v="0"/>
    <n v="6000"/>
    <n v="0"/>
  </r>
  <r>
    <x v="3"/>
    <x v="156"/>
    <n v="128860"/>
    <n v="0"/>
    <n v="0"/>
    <n v="0"/>
    <n v="0"/>
    <n v="0"/>
    <n v="0"/>
    <n v="0"/>
    <n v="0"/>
    <n v="128860"/>
  </r>
  <r>
    <x v="3"/>
    <x v="157"/>
    <n v="197000"/>
    <n v="0"/>
    <n v="0"/>
    <n v="0"/>
    <n v="0"/>
    <n v="0"/>
    <n v="0"/>
    <n v="0"/>
    <n v="0"/>
    <n v="197000"/>
  </r>
  <r>
    <x v="3"/>
    <x v="158"/>
    <n v="40250"/>
    <n v="0"/>
    <n v="0"/>
    <n v="0"/>
    <n v="0"/>
    <n v="0"/>
    <n v="0"/>
    <n v="0"/>
    <n v="0"/>
    <n v="40250"/>
  </r>
  <r>
    <x v="3"/>
    <x v="159"/>
    <n v="777024"/>
    <n v="0"/>
    <n v="0"/>
    <n v="0"/>
    <n v="0"/>
    <n v="0"/>
    <n v="0"/>
    <n v="0"/>
    <n v="0"/>
    <n v="777024"/>
  </r>
  <r>
    <x v="3"/>
    <x v="160"/>
    <n v="153225"/>
    <n v="0"/>
    <n v="0"/>
    <n v="0"/>
    <n v="0"/>
    <n v="0"/>
    <n v="0"/>
    <n v="0"/>
    <n v="153225"/>
    <n v="0"/>
  </r>
  <r>
    <x v="3"/>
    <x v="161"/>
    <n v="108000"/>
    <n v="0"/>
    <n v="0"/>
    <n v="0"/>
    <n v="0"/>
    <n v="0"/>
    <n v="0"/>
    <n v="0"/>
    <n v="0"/>
    <n v="108000"/>
  </r>
  <r>
    <x v="3"/>
    <x v="162"/>
    <n v="50600"/>
    <n v="0"/>
    <n v="0"/>
    <n v="0"/>
    <n v="0"/>
    <n v="0"/>
    <n v="0"/>
    <n v="0"/>
    <n v="50600"/>
    <n v="0"/>
  </r>
  <r>
    <x v="3"/>
    <x v="134"/>
    <n v="47800"/>
    <n v="0"/>
    <n v="0"/>
    <n v="0"/>
    <n v="0"/>
    <n v="0"/>
    <n v="0"/>
    <n v="0"/>
    <n v="0"/>
    <n v="47800"/>
  </r>
  <r>
    <x v="3"/>
    <x v="163"/>
    <n v="68000"/>
    <n v="0"/>
    <n v="0"/>
    <n v="0"/>
    <n v="0"/>
    <n v="0"/>
    <n v="0"/>
    <n v="0"/>
    <n v="0"/>
    <n v="68000"/>
  </r>
  <r>
    <x v="3"/>
    <x v="164"/>
    <n v="168000"/>
    <n v="0"/>
    <n v="0"/>
    <n v="0"/>
    <n v="0"/>
    <n v="0"/>
    <n v="0"/>
    <n v="0"/>
    <n v="168000"/>
    <n v="0"/>
  </r>
  <r>
    <x v="3"/>
    <x v="165"/>
    <n v="104500"/>
    <n v="0"/>
    <n v="0"/>
    <n v="0"/>
    <n v="0"/>
    <n v="0"/>
    <n v="0"/>
    <n v="0"/>
    <n v="0"/>
    <n v="104500"/>
  </r>
  <r>
    <x v="3"/>
    <x v="103"/>
    <n v="460909"/>
    <n v="0"/>
    <n v="0"/>
    <n v="0"/>
    <n v="0"/>
    <n v="0"/>
    <n v="0"/>
    <n v="0"/>
    <n v="0"/>
    <n v="460909"/>
  </r>
  <r>
    <x v="3"/>
    <x v="166"/>
    <n v="25200"/>
    <n v="0"/>
    <n v="0"/>
    <n v="0"/>
    <n v="0"/>
    <n v="0"/>
    <n v="0"/>
    <n v="0"/>
    <n v="0"/>
    <n v="25200"/>
  </r>
  <r>
    <x v="3"/>
    <x v="167"/>
    <n v="735000"/>
    <n v="0"/>
    <n v="0"/>
    <n v="0"/>
    <n v="0"/>
    <n v="0"/>
    <n v="0"/>
    <n v="0"/>
    <n v="0"/>
    <n v="735000"/>
  </r>
  <r>
    <x v="3"/>
    <x v="168"/>
    <n v="170000"/>
    <n v="0"/>
    <n v="0"/>
    <n v="0"/>
    <n v="0"/>
    <n v="0"/>
    <n v="0"/>
    <n v="0"/>
    <n v="0"/>
    <n v="170000"/>
  </r>
  <r>
    <x v="3"/>
    <x v="169"/>
    <n v="321000"/>
    <n v="0"/>
    <n v="0"/>
    <n v="0"/>
    <n v="0"/>
    <n v="0"/>
    <n v="0"/>
    <n v="0"/>
    <n v="321000"/>
    <n v="0"/>
  </r>
  <r>
    <x v="3"/>
    <x v="170"/>
    <n v="585000"/>
    <n v="0"/>
    <n v="0"/>
    <n v="0"/>
    <n v="0"/>
    <n v="0"/>
    <n v="0"/>
    <n v="0"/>
    <n v="0"/>
    <n v="585000"/>
  </r>
  <r>
    <x v="3"/>
    <x v="171"/>
    <n v="11500"/>
    <n v="0"/>
    <n v="0"/>
    <n v="0"/>
    <n v="0"/>
    <n v="0"/>
    <n v="0"/>
    <n v="0"/>
    <n v="11500"/>
    <n v="0"/>
  </r>
  <r>
    <x v="1"/>
    <x v="44"/>
    <n v="1365400"/>
    <n v="0"/>
    <n v="0"/>
    <n v="0"/>
    <n v="0"/>
    <n v="0"/>
    <n v="0"/>
    <n v="0"/>
    <n v="0"/>
    <n v="1365400"/>
  </r>
  <r>
    <x v="1"/>
    <x v="172"/>
    <n v="46500"/>
    <n v="0"/>
    <n v="0"/>
    <n v="0"/>
    <n v="0"/>
    <n v="0"/>
    <n v="0"/>
    <n v="0"/>
    <n v="1316"/>
    <n v="45184"/>
  </r>
  <r>
    <x v="1"/>
    <x v="173"/>
    <n v="5780"/>
    <n v="0"/>
    <n v="0"/>
    <n v="0"/>
    <n v="0"/>
    <n v="0"/>
    <n v="0"/>
    <n v="0"/>
    <n v="5780"/>
    <n v="0"/>
  </r>
  <r>
    <x v="1"/>
    <x v="110"/>
    <n v="271000"/>
    <n v="0"/>
    <n v="0"/>
    <n v="0"/>
    <n v="0"/>
    <n v="0"/>
    <n v="0"/>
    <n v="0"/>
    <n v="0"/>
    <n v="271000"/>
  </r>
  <r>
    <x v="1"/>
    <x v="93"/>
    <n v="8462755"/>
    <n v="0"/>
    <n v="0"/>
    <n v="0"/>
    <n v="0"/>
    <n v="0"/>
    <n v="0"/>
    <n v="0"/>
    <n v="1"/>
    <n v="8462754"/>
  </r>
  <r>
    <x v="1"/>
    <x v="125"/>
    <n v="25950"/>
    <n v="0"/>
    <n v="0"/>
    <n v="0"/>
    <n v="0"/>
    <n v="0"/>
    <n v="0"/>
    <n v="0"/>
    <n v="0"/>
    <n v="25950"/>
  </r>
  <r>
    <x v="1"/>
    <x v="174"/>
    <n v="1300"/>
    <n v="0"/>
    <n v="0"/>
    <n v="0"/>
    <n v="0"/>
    <n v="0"/>
    <n v="0"/>
    <n v="0"/>
    <n v="1300"/>
    <n v="0"/>
  </r>
  <r>
    <x v="6"/>
    <x v="175"/>
    <n v="4000"/>
    <n v="4000"/>
    <n v="0"/>
    <n v="0"/>
    <n v="0"/>
    <n v="0"/>
    <n v="0"/>
    <n v="0"/>
    <n v="0"/>
    <n v="0"/>
  </r>
  <r>
    <x v="6"/>
    <x v="176"/>
    <n v="28200"/>
    <n v="0"/>
    <n v="0"/>
    <n v="0"/>
    <n v="0"/>
    <n v="0"/>
    <n v="28200"/>
    <n v="0"/>
    <n v="0"/>
    <n v="0"/>
  </r>
  <r>
    <x v="7"/>
    <x v="177"/>
    <n v="1155050"/>
    <n v="1155050"/>
    <n v="0"/>
    <n v="0"/>
    <n v="0"/>
    <n v="0"/>
    <n v="0"/>
    <n v="0"/>
    <n v="0"/>
    <n v="0"/>
  </r>
  <r>
    <x v="2"/>
    <x v="129"/>
    <n v="582341"/>
    <n v="0"/>
    <n v="0"/>
    <n v="0"/>
    <n v="0"/>
    <n v="0"/>
    <n v="0"/>
    <n v="0"/>
    <n v="66817"/>
    <n v="515524"/>
  </r>
  <r>
    <x v="3"/>
    <x v="132"/>
    <n v="21000"/>
    <n v="0"/>
    <n v="0"/>
    <n v="0"/>
    <n v="0"/>
    <n v="0"/>
    <n v="0"/>
    <n v="0"/>
    <n v="0"/>
    <n v="21000"/>
  </r>
  <r>
    <x v="3"/>
    <x v="102"/>
    <n v="12000"/>
    <n v="0"/>
    <n v="0"/>
    <n v="0"/>
    <n v="0"/>
    <n v="0"/>
    <n v="0"/>
    <n v="0"/>
    <n v="0"/>
    <n v="12000"/>
  </r>
  <r>
    <x v="3"/>
    <x v="178"/>
    <n v="16700"/>
    <n v="0"/>
    <n v="0"/>
    <n v="0"/>
    <n v="0"/>
    <n v="0"/>
    <n v="0"/>
    <n v="0"/>
    <n v="16700"/>
    <n v="0"/>
  </r>
  <r>
    <x v="3"/>
    <x v="134"/>
    <n v="2000"/>
    <n v="0"/>
    <n v="0"/>
    <n v="0"/>
    <n v="0"/>
    <n v="0"/>
    <n v="0"/>
    <n v="0"/>
    <n v="0"/>
    <n v="2000"/>
  </r>
  <r>
    <x v="3"/>
    <x v="179"/>
    <n v="12000"/>
    <n v="0"/>
    <n v="0"/>
    <n v="0"/>
    <n v="0"/>
    <n v="0"/>
    <n v="0"/>
    <n v="0"/>
    <n v="0"/>
    <n v="12000"/>
  </r>
  <r>
    <x v="3"/>
    <x v="135"/>
    <n v="84000"/>
    <n v="0"/>
    <n v="0"/>
    <n v="0"/>
    <n v="0"/>
    <n v="0"/>
    <n v="0"/>
    <n v="0"/>
    <n v="0"/>
    <n v="84000"/>
  </r>
  <r>
    <x v="8"/>
    <x v="180"/>
    <m/>
    <m/>
    <m/>
    <m/>
    <m/>
    <m/>
    <m/>
    <m/>
    <m/>
    <m/>
  </r>
  <r>
    <x v="7"/>
    <x v="177"/>
    <n v="503397"/>
    <n v="503397"/>
    <n v="0"/>
    <n v="0"/>
    <n v="0"/>
    <n v="0"/>
    <n v="0"/>
    <n v="0"/>
    <n v="0"/>
    <n v="0"/>
  </r>
  <r>
    <x v="9"/>
    <x v="181"/>
    <n v="1086175"/>
    <n v="1086175"/>
    <n v="0"/>
    <n v="0"/>
    <n v="0"/>
    <n v="0"/>
    <n v="0"/>
    <n v="0"/>
    <n v="0"/>
    <n v="0"/>
  </r>
  <r>
    <x v="10"/>
    <x v="182"/>
    <n v="430700"/>
    <n v="430700"/>
    <n v="0"/>
    <n v="0"/>
    <n v="0"/>
    <n v="0"/>
    <n v="0"/>
    <n v="0"/>
    <n v="0"/>
    <n v="0"/>
  </r>
  <r>
    <x v="10"/>
    <x v="183"/>
    <n v="475"/>
    <n v="0"/>
    <n v="0"/>
    <n v="0"/>
    <n v="475"/>
    <n v="0"/>
    <n v="0"/>
    <n v="0"/>
    <n v="0"/>
    <n v="0"/>
  </r>
  <r>
    <x v="11"/>
    <x v="184"/>
    <n v="2893087.36"/>
    <n v="0"/>
    <n v="2893087.36"/>
    <n v="0"/>
    <n v="0"/>
    <n v="0"/>
    <n v="0"/>
    <n v="0"/>
    <n v="0"/>
    <n v="0"/>
  </r>
  <r>
    <x v="11"/>
    <x v="185"/>
    <n v="9289726"/>
    <n v="9289726"/>
    <n v="0"/>
    <n v="0"/>
    <n v="0"/>
    <n v="0"/>
    <n v="0"/>
    <n v="0"/>
    <n v="0"/>
    <n v="0"/>
  </r>
  <r>
    <x v="11"/>
    <x v="186"/>
    <n v="5070634"/>
    <n v="1514350"/>
    <n v="3556284"/>
    <n v="0"/>
    <n v="0"/>
    <n v="0"/>
    <n v="0"/>
    <n v="0"/>
    <n v="0"/>
    <n v="0"/>
  </r>
  <r>
    <x v="11"/>
    <x v="187"/>
    <n v="96900"/>
    <n v="96900"/>
    <n v="0"/>
    <n v="0"/>
    <n v="0"/>
    <n v="0"/>
    <n v="0"/>
    <n v="0"/>
    <n v="0"/>
    <n v="0"/>
  </r>
  <r>
    <x v="11"/>
    <x v="188"/>
    <n v="2430726"/>
    <n v="2430726"/>
    <n v="0"/>
    <n v="0"/>
    <n v="0"/>
    <n v="0"/>
    <n v="0"/>
    <n v="0"/>
    <n v="0"/>
    <n v="0"/>
  </r>
  <r>
    <x v="12"/>
    <x v="189"/>
    <n v="3159329"/>
    <n v="3159329"/>
    <n v="0"/>
    <n v="0"/>
    <n v="0"/>
    <n v="0"/>
    <n v="0"/>
    <n v="0"/>
    <n v="0"/>
    <n v="0"/>
  </r>
  <r>
    <x v="12"/>
    <x v="190"/>
    <n v="2685011"/>
    <n v="0"/>
    <n v="683100"/>
    <n v="0"/>
    <n v="892375"/>
    <n v="1109536"/>
    <n v="0"/>
    <n v="0"/>
    <n v="0"/>
    <n v="0"/>
  </r>
  <r>
    <x v="9"/>
    <x v="191"/>
    <n v="14565"/>
    <n v="0"/>
    <n v="14565"/>
    <n v="0"/>
    <n v="0"/>
    <n v="0"/>
    <n v="0"/>
    <n v="0"/>
    <n v="0"/>
    <n v="0"/>
  </r>
  <r>
    <x v="11"/>
    <x v="184"/>
    <n v="3013130"/>
    <n v="572360"/>
    <n v="2440770"/>
    <n v="0"/>
    <n v="0"/>
    <n v="0"/>
    <n v="0"/>
    <n v="0"/>
    <n v="0"/>
    <n v="0"/>
  </r>
  <r>
    <x v="11"/>
    <x v="185"/>
    <n v="1311295"/>
    <n v="0"/>
    <n v="1311295"/>
    <n v="0"/>
    <n v="0"/>
    <n v="0"/>
    <n v="0"/>
    <n v="0"/>
    <n v="0"/>
    <n v="0"/>
  </r>
  <r>
    <x v="11"/>
    <x v="192"/>
    <n v="3252785"/>
    <n v="3252785"/>
    <n v="0"/>
    <n v="0"/>
    <n v="0"/>
    <n v="0"/>
    <n v="0"/>
    <n v="0"/>
    <n v="0"/>
    <n v="0"/>
  </r>
  <r>
    <x v="11"/>
    <x v="188"/>
    <n v="234300"/>
    <n v="234300"/>
    <n v="0"/>
    <n v="0"/>
    <n v="0"/>
    <n v="0"/>
    <n v="0"/>
    <n v="0"/>
    <n v="0"/>
    <n v="0"/>
  </r>
  <r>
    <x v="12"/>
    <x v="189"/>
    <n v="3484675"/>
    <n v="3484675"/>
    <n v="0"/>
    <n v="0"/>
    <n v="0"/>
    <n v="0"/>
    <n v="0"/>
    <n v="0"/>
    <n v="0"/>
    <n v="0"/>
  </r>
  <r>
    <x v="9"/>
    <x v="181"/>
    <n v="2738380"/>
    <n v="2738380"/>
    <n v="0"/>
    <n v="0"/>
    <n v="0"/>
    <n v="0"/>
    <n v="0"/>
    <n v="0"/>
    <n v="0"/>
    <n v="0"/>
  </r>
  <r>
    <x v="10"/>
    <x v="193"/>
    <n v="190900"/>
    <n v="0"/>
    <n v="0"/>
    <n v="0"/>
    <n v="190900"/>
    <n v="0"/>
    <n v="0"/>
    <n v="0"/>
    <n v="0"/>
    <n v="0"/>
  </r>
  <r>
    <x v="1"/>
    <x v="194"/>
    <n v="1874174"/>
    <n v="0"/>
    <n v="0"/>
    <n v="0"/>
    <n v="0"/>
    <n v="0"/>
    <n v="0"/>
    <n v="0"/>
    <n v="0"/>
    <n v="1874174"/>
  </r>
  <r>
    <x v="13"/>
    <x v="195"/>
    <n v="985733"/>
    <n v="0"/>
    <n v="0"/>
    <n v="0"/>
    <n v="0"/>
    <n v="0"/>
    <n v="0"/>
    <n v="0"/>
    <n v="985733"/>
    <n v="0"/>
  </r>
  <r>
    <x v="12"/>
    <x v="190"/>
    <n v="832050"/>
    <n v="0"/>
    <n v="0"/>
    <n v="0"/>
    <n v="668100"/>
    <n v="0"/>
    <n v="163950"/>
    <n v="0"/>
    <n v="0"/>
    <n v="0"/>
  </r>
  <r>
    <x v="8"/>
    <x v="180"/>
    <m/>
    <m/>
    <m/>
    <m/>
    <m/>
    <m/>
    <m/>
    <m/>
    <m/>
    <m/>
  </r>
  <r>
    <x v="14"/>
    <x v="196"/>
    <n v="5472262.1500000004"/>
    <n v="4005000"/>
    <n v="1235900"/>
    <n v="231362.15000000002"/>
    <n v="0"/>
    <n v="0"/>
    <n v="0"/>
    <n v="0"/>
    <n v="0"/>
    <n v="0"/>
  </r>
  <r>
    <x v="14"/>
    <x v="197"/>
    <n v="5742269.7800000003"/>
    <n v="5742269.7800000003"/>
    <n v="0"/>
    <n v="0"/>
    <n v="0"/>
    <n v="0"/>
    <n v="0"/>
    <n v="0"/>
    <n v="0"/>
    <n v="0"/>
  </r>
  <r>
    <x v="14"/>
    <x v="198"/>
    <n v="812230.48"/>
    <n v="812230.48"/>
    <n v="0"/>
    <n v="0"/>
    <n v="0"/>
    <n v="0"/>
    <n v="0"/>
    <n v="0"/>
    <n v="0"/>
    <n v="0"/>
  </r>
  <r>
    <x v="15"/>
    <x v="199"/>
    <n v="417103"/>
    <n v="417103"/>
    <n v="0"/>
    <n v="0"/>
    <n v="0"/>
    <n v="0"/>
    <n v="0"/>
    <n v="0"/>
    <n v="0"/>
    <n v="0"/>
  </r>
  <r>
    <x v="6"/>
    <x v="200"/>
    <n v="65500"/>
    <n v="0"/>
    <n v="65500"/>
    <n v="0"/>
    <n v="0"/>
    <n v="0"/>
    <n v="0"/>
    <n v="0"/>
    <n v="0"/>
    <n v="0"/>
  </r>
  <r>
    <x v="6"/>
    <x v="201"/>
    <n v="500"/>
    <n v="0"/>
    <n v="500"/>
    <n v="0"/>
    <n v="0"/>
    <n v="0"/>
    <n v="0"/>
    <n v="0"/>
    <n v="0"/>
    <n v="0"/>
  </r>
  <r>
    <x v="6"/>
    <x v="202"/>
    <n v="100309"/>
    <n v="100309"/>
    <n v="0"/>
    <n v="0"/>
    <n v="0"/>
    <n v="0"/>
    <n v="0"/>
    <n v="0"/>
    <n v="0"/>
    <n v="0"/>
  </r>
  <r>
    <x v="16"/>
    <x v="203"/>
    <n v="340"/>
    <n v="340"/>
    <n v="0"/>
    <n v="0"/>
    <n v="0"/>
    <n v="0"/>
    <n v="0"/>
    <n v="0"/>
    <n v="0"/>
    <n v="0"/>
  </r>
  <r>
    <x v="16"/>
    <x v="204"/>
    <n v="700"/>
    <n v="0"/>
    <n v="0"/>
    <n v="0"/>
    <n v="0"/>
    <n v="0"/>
    <n v="700"/>
    <n v="0"/>
    <n v="0"/>
    <n v="0"/>
  </r>
  <r>
    <x v="16"/>
    <x v="205"/>
    <n v="5200"/>
    <n v="0"/>
    <n v="5200"/>
    <n v="0"/>
    <n v="0"/>
    <n v="0"/>
    <n v="0"/>
    <n v="0"/>
    <n v="0"/>
    <n v="0"/>
  </r>
  <r>
    <x v="17"/>
    <x v="206"/>
    <n v="60000"/>
    <n v="0"/>
    <n v="60000"/>
    <n v="0"/>
    <n v="0"/>
    <n v="0"/>
    <n v="0"/>
    <n v="0"/>
    <n v="0"/>
    <n v="0"/>
  </r>
  <r>
    <x v="17"/>
    <x v="207"/>
    <n v="709.98"/>
    <n v="0"/>
    <n v="0"/>
    <n v="0"/>
    <n v="0"/>
    <n v="0"/>
    <n v="709.98"/>
    <n v="0"/>
    <n v="0"/>
    <n v="0"/>
  </r>
  <r>
    <x v="17"/>
    <x v="208"/>
    <n v="24976.91"/>
    <n v="24976.91"/>
    <n v="0"/>
    <n v="0"/>
    <n v="0"/>
    <n v="0"/>
    <n v="0"/>
    <n v="0"/>
    <n v="0"/>
    <n v="0"/>
  </r>
  <r>
    <x v="18"/>
    <x v="209"/>
    <n v="1582237.2"/>
    <n v="1582237.2"/>
    <n v="0"/>
    <n v="0"/>
    <n v="0"/>
    <n v="0"/>
    <n v="0"/>
    <n v="0"/>
    <n v="0"/>
    <n v="0"/>
  </r>
  <r>
    <x v="16"/>
    <x v="210"/>
    <n v="72657.64"/>
    <n v="0"/>
    <n v="0"/>
    <n v="0"/>
    <n v="0"/>
    <n v="0"/>
    <n v="0"/>
    <n v="0"/>
    <n v="72657.64"/>
    <n v="0"/>
  </r>
  <r>
    <x v="16"/>
    <x v="211"/>
    <n v="0"/>
    <n v="0"/>
    <n v="0"/>
    <n v="0"/>
    <n v="0"/>
    <n v="0"/>
    <n v="0"/>
    <n v="0"/>
    <n v="0"/>
    <n v="0"/>
  </r>
  <r>
    <x v="17"/>
    <x v="212"/>
    <n v="198547.20000000001"/>
    <n v="0"/>
    <n v="0"/>
    <n v="0"/>
    <n v="0"/>
    <n v="0"/>
    <n v="0"/>
    <n v="198547.20000000001"/>
    <n v="0"/>
    <n v="0"/>
  </r>
  <r>
    <x v="8"/>
    <x v="180"/>
    <m/>
    <m/>
    <m/>
    <m/>
    <m/>
    <m/>
    <m/>
    <m/>
    <m/>
    <m/>
  </r>
  <r>
    <x v="15"/>
    <x v="213"/>
    <n v="319.64999999999998"/>
    <n v="319.64999999999998"/>
    <n v="0"/>
    <n v="0"/>
    <n v="0"/>
    <n v="0"/>
    <n v="0"/>
    <n v="0"/>
    <n v="0"/>
    <n v="0"/>
  </r>
  <r>
    <x v="15"/>
    <x v="199"/>
    <n v="496246.81"/>
    <n v="496246.81"/>
    <n v="0"/>
    <n v="0"/>
    <n v="0"/>
    <n v="0"/>
    <n v="0"/>
    <n v="0"/>
    <n v="0"/>
    <n v="0"/>
  </r>
  <r>
    <x v="1"/>
    <x v="214"/>
    <n v="170371"/>
    <n v="0"/>
    <n v="0"/>
    <n v="0"/>
    <n v="0"/>
    <n v="0"/>
    <n v="0"/>
    <n v="0"/>
    <n v="0"/>
    <n v="170371"/>
  </r>
  <r>
    <x v="1"/>
    <x v="215"/>
    <n v="149739"/>
    <n v="0"/>
    <n v="0"/>
    <n v="0"/>
    <n v="0"/>
    <n v="0"/>
    <n v="0"/>
    <n v="0"/>
    <n v="0"/>
    <n v="149739"/>
  </r>
  <r>
    <x v="1"/>
    <x v="216"/>
    <n v="305642.81"/>
    <n v="0"/>
    <n v="0"/>
    <n v="0"/>
    <n v="0"/>
    <n v="0"/>
    <n v="0"/>
    <n v="0"/>
    <n v="0"/>
    <n v="305642.81"/>
  </r>
  <r>
    <x v="1"/>
    <x v="217"/>
    <n v="261320"/>
    <n v="0"/>
    <n v="0"/>
    <n v="0"/>
    <n v="0"/>
    <n v="0"/>
    <n v="0"/>
    <n v="0"/>
    <n v="0"/>
    <n v="261320"/>
  </r>
  <r>
    <x v="1"/>
    <x v="218"/>
    <n v="117261"/>
    <n v="0"/>
    <n v="0"/>
    <n v="0"/>
    <n v="0"/>
    <n v="0"/>
    <n v="0"/>
    <n v="0"/>
    <n v="0"/>
    <n v="117261"/>
  </r>
  <r>
    <x v="1"/>
    <x v="219"/>
    <n v="40369"/>
    <n v="0"/>
    <n v="0"/>
    <n v="0"/>
    <n v="0"/>
    <n v="0"/>
    <n v="0"/>
    <n v="0"/>
    <n v="0"/>
    <n v="40369"/>
  </r>
  <r>
    <x v="1"/>
    <x v="220"/>
    <n v="106034.36"/>
    <n v="0"/>
    <n v="0"/>
    <n v="0"/>
    <n v="0"/>
    <n v="0"/>
    <n v="0"/>
    <n v="0"/>
    <n v="0"/>
    <n v="106034.36"/>
  </r>
  <r>
    <x v="6"/>
    <x v="221"/>
    <n v="10000"/>
    <n v="10000"/>
    <n v="0"/>
    <n v="0"/>
    <n v="0"/>
    <n v="0"/>
    <n v="0"/>
    <n v="0"/>
    <n v="0"/>
    <n v="0"/>
  </r>
  <r>
    <x v="6"/>
    <x v="222"/>
    <n v="15925"/>
    <n v="0"/>
    <n v="15925"/>
    <n v="0"/>
    <n v="0"/>
    <n v="0"/>
    <n v="0"/>
    <n v="0"/>
    <n v="0"/>
    <n v="0"/>
  </r>
  <r>
    <x v="19"/>
    <x v="223"/>
    <n v="82308.509999999995"/>
    <n v="0"/>
    <n v="0"/>
    <n v="0"/>
    <n v="0"/>
    <n v="0"/>
    <n v="0"/>
    <n v="0"/>
    <n v="82308.509999999995"/>
    <n v="0"/>
  </r>
  <r>
    <x v="19"/>
    <x v="224"/>
    <n v="347424.28"/>
    <n v="0"/>
    <n v="0"/>
    <n v="0"/>
    <n v="0"/>
    <n v="0"/>
    <n v="0"/>
    <n v="0"/>
    <n v="0"/>
    <n v="347424.28"/>
  </r>
  <r>
    <x v="19"/>
    <x v="225"/>
    <n v="202127"/>
    <n v="0"/>
    <n v="0"/>
    <n v="0"/>
    <n v="0"/>
    <n v="0"/>
    <n v="0"/>
    <n v="0"/>
    <n v="0"/>
    <n v="202127"/>
  </r>
  <r>
    <x v="19"/>
    <x v="226"/>
    <n v="35337.160000000003"/>
    <n v="35337.160000000003"/>
    <n v="0"/>
    <n v="0"/>
    <n v="0"/>
    <n v="0"/>
    <n v="0"/>
    <n v="0"/>
    <n v="0"/>
    <n v="0"/>
  </r>
  <r>
    <x v="19"/>
    <x v="227"/>
    <n v="1277286.74"/>
    <n v="863277.11"/>
    <n v="0"/>
    <n v="0"/>
    <n v="0"/>
    <n v="363087.7"/>
    <n v="0"/>
    <n v="50921.93"/>
    <n v="0"/>
    <n v="0"/>
  </r>
  <r>
    <x v="19"/>
    <x v="228"/>
    <n v="775240.52"/>
    <n v="0"/>
    <n v="775240.52"/>
    <n v="0"/>
    <n v="0"/>
    <n v="0"/>
    <n v="0"/>
    <n v="0"/>
    <n v="0"/>
    <n v="0"/>
  </r>
  <r>
    <x v="19"/>
    <x v="229"/>
    <n v="480720.83"/>
    <n v="0"/>
    <n v="0"/>
    <n v="480720.83"/>
    <n v="0"/>
    <n v="0"/>
    <n v="0"/>
    <n v="0"/>
    <n v="0"/>
    <n v="0"/>
  </r>
  <r>
    <x v="19"/>
    <x v="230"/>
    <n v="613527.79"/>
    <n v="0"/>
    <n v="0"/>
    <n v="0"/>
    <n v="155541.9"/>
    <n v="0"/>
    <n v="457985.89"/>
    <n v="0"/>
    <n v="0"/>
    <n v="0"/>
  </r>
  <r>
    <x v="19"/>
    <x v="231"/>
    <n v="343860"/>
    <n v="0"/>
    <n v="0"/>
    <n v="0"/>
    <n v="0"/>
    <n v="0"/>
    <n v="0"/>
    <n v="0"/>
    <n v="0"/>
    <n v="343860"/>
  </r>
  <r>
    <x v="19"/>
    <x v="232"/>
    <n v="5845.23"/>
    <n v="0"/>
    <n v="0"/>
    <n v="0"/>
    <n v="0"/>
    <n v="0"/>
    <n v="0"/>
    <n v="0"/>
    <n v="5845.23"/>
    <n v="0"/>
  </r>
  <r>
    <x v="19"/>
    <x v="233"/>
    <n v="650299"/>
    <n v="0"/>
    <n v="0"/>
    <n v="0"/>
    <n v="0"/>
    <n v="0"/>
    <n v="0"/>
    <n v="0"/>
    <n v="0"/>
    <n v="650299"/>
  </r>
  <r>
    <x v="19"/>
    <x v="234"/>
    <n v="199836"/>
    <n v="0"/>
    <n v="0"/>
    <n v="0"/>
    <n v="0"/>
    <n v="0"/>
    <n v="0"/>
    <n v="0"/>
    <n v="0"/>
    <n v="199836"/>
  </r>
  <r>
    <x v="19"/>
    <x v="235"/>
    <n v="820928.73"/>
    <n v="544839.36"/>
    <n v="0"/>
    <n v="276089.37"/>
    <n v="0"/>
    <n v="0"/>
    <n v="0"/>
    <n v="0"/>
    <n v="0"/>
    <n v="0"/>
  </r>
  <r>
    <x v="19"/>
    <x v="236"/>
    <n v="21945.42"/>
    <n v="0"/>
    <n v="0"/>
    <n v="0"/>
    <n v="0"/>
    <n v="0"/>
    <n v="0"/>
    <n v="21945.42"/>
    <n v="0"/>
    <n v="0"/>
  </r>
  <r>
    <x v="19"/>
    <x v="237"/>
    <n v="313324.14"/>
    <n v="0"/>
    <n v="0"/>
    <n v="0"/>
    <n v="0"/>
    <n v="0"/>
    <n v="0"/>
    <n v="0"/>
    <n v="313324.14"/>
    <n v="0"/>
  </r>
  <r>
    <x v="19"/>
    <x v="238"/>
    <n v="211742.63"/>
    <n v="0"/>
    <n v="0"/>
    <n v="182479.2"/>
    <n v="0"/>
    <n v="0"/>
    <n v="0"/>
    <n v="29263.43"/>
    <n v="0"/>
    <n v="0"/>
  </r>
  <r>
    <x v="19"/>
    <x v="239"/>
    <n v="25048"/>
    <n v="0"/>
    <n v="0"/>
    <n v="0"/>
    <n v="0"/>
    <n v="0"/>
    <n v="0"/>
    <n v="0"/>
    <n v="0"/>
    <n v="25048"/>
  </r>
  <r>
    <x v="20"/>
    <x v="240"/>
    <n v="299887.15000000002"/>
    <n v="0"/>
    <n v="0"/>
    <n v="0"/>
    <n v="0"/>
    <n v="0"/>
    <n v="0"/>
    <n v="0"/>
    <n v="0"/>
    <n v="299887.15000000002"/>
  </r>
  <r>
    <x v="20"/>
    <x v="241"/>
    <n v="877923"/>
    <n v="0"/>
    <n v="0"/>
    <n v="0"/>
    <n v="0"/>
    <n v="0"/>
    <n v="0"/>
    <n v="0"/>
    <n v="0"/>
    <n v="877923"/>
  </r>
  <r>
    <x v="20"/>
    <x v="242"/>
    <n v="157024.79"/>
    <n v="0"/>
    <n v="0"/>
    <n v="0"/>
    <n v="0"/>
    <n v="0"/>
    <n v="0"/>
    <n v="0"/>
    <n v="0"/>
    <n v="157024.79"/>
  </r>
  <r>
    <x v="20"/>
    <x v="243"/>
    <n v="234437"/>
    <n v="0"/>
    <n v="0"/>
    <n v="0"/>
    <n v="0"/>
    <n v="0"/>
    <n v="0"/>
    <n v="0"/>
    <n v="0"/>
    <n v="234437"/>
  </r>
  <r>
    <x v="20"/>
    <x v="244"/>
    <n v="891238.03"/>
    <n v="0"/>
    <n v="0"/>
    <n v="0"/>
    <n v="0"/>
    <n v="0"/>
    <n v="0"/>
    <n v="0"/>
    <n v="0"/>
    <n v="891238.03"/>
  </r>
  <r>
    <x v="20"/>
    <x v="245"/>
    <n v="458504"/>
    <n v="0"/>
    <n v="0"/>
    <n v="0"/>
    <n v="0"/>
    <n v="0"/>
    <n v="0"/>
    <n v="0"/>
    <n v="0"/>
    <n v="458504"/>
  </r>
  <r>
    <x v="20"/>
    <x v="246"/>
    <n v="647718"/>
    <n v="0"/>
    <n v="0"/>
    <n v="0"/>
    <n v="0"/>
    <n v="0"/>
    <n v="0"/>
    <n v="0"/>
    <n v="0"/>
    <n v="647718"/>
  </r>
  <r>
    <x v="20"/>
    <x v="247"/>
    <n v="34317"/>
    <n v="0"/>
    <n v="0"/>
    <n v="0"/>
    <n v="0"/>
    <n v="0"/>
    <n v="0"/>
    <n v="0"/>
    <n v="0"/>
    <n v="34317"/>
  </r>
  <r>
    <x v="20"/>
    <x v="248"/>
    <n v="12860.52"/>
    <n v="0"/>
    <n v="0"/>
    <n v="0"/>
    <n v="0"/>
    <n v="0"/>
    <n v="0"/>
    <n v="0"/>
    <n v="12860.52"/>
    <n v="0"/>
  </r>
  <r>
    <x v="18"/>
    <x v="249"/>
    <n v="2991683"/>
    <n v="2991683"/>
    <n v="0"/>
    <n v="0"/>
    <n v="0"/>
    <n v="0"/>
    <n v="0"/>
    <n v="0"/>
    <n v="0"/>
    <n v="0"/>
  </r>
  <r>
    <x v="18"/>
    <x v="250"/>
    <n v="1881315"/>
    <n v="436000"/>
    <n v="0"/>
    <n v="0"/>
    <n v="764500"/>
    <n v="480150"/>
    <n v="0"/>
    <n v="200665"/>
    <n v="0"/>
    <n v="0"/>
  </r>
  <r>
    <x v="18"/>
    <x v="251"/>
    <n v="1842785"/>
    <n v="0"/>
    <n v="0"/>
    <n v="0"/>
    <n v="0"/>
    <n v="0"/>
    <n v="0"/>
    <n v="1842785"/>
    <n v="0"/>
    <n v="0"/>
  </r>
  <r>
    <x v="18"/>
    <x v="209"/>
    <n v="1403517.55"/>
    <n v="537279.4"/>
    <n v="866238.15"/>
    <n v="0"/>
    <n v="0"/>
    <n v="0"/>
    <n v="0"/>
    <n v="0"/>
    <n v="0"/>
    <n v="0"/>
  </r>
  <r>
    <x v="18"/>
    <x v="252"/>
    <n v="1468223"/>
    <n v="0"/>
    <n v="0"/>
    <n v="0"/>
    <n v="0"/>
    <n v="0"/>
    <n v="0"/>
    <n v="0"/>
    <n v="146822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ASM Name">
  <location ref="A2:K24" firstHeaderRow="0" firstDataRow="1" firstDataCol="1"/>
  <pivotFields count="12">
    <pivotField axis="axisRow" showAll="0">
      <items count="22">
        <item sd="0" x="10"/>
        <item sd="0" x="14"/>
        <item sd="0" x="15"/>
        <item sd="0" x="5"/>
        <item sd="0" x="0"/>
        <item sd="0" x="1"/>
        <item sd="0" x="4"/>
        <item sd="0" x="6"/>
        <item sd="0" x="19"/>
        <item sd="0" x="16"/>
        <item sd="0" x="7"/>
        <item sd="0" x="2"/>
        <item sd="0" x="17"/>
        <item sd="0" x="11"/>
        <item sd="0" x="3"/>
        <item sd="0" x="13"/>
        <item sd="0" x="12"/>
        <item sd="0" x="9"/>
        <item sd="0" x="20"/>
        <item sd="0" x="18"/>
        <item sd="0" x="8"/>
        <item t="default" sd="0"/>
      </items>
    </pivotField>
    <pivotField axis="axisRow" showAll="0">
      <items count="254">
        <item x="240"/>
        <item x="223"/>
        <item x="104"/>
        <item x="249"/>
        <item x="214"/>
        <item x="29"/>
        <item x="111"/>
        <item x="138"/>
        <item x="30"/>
        <item x="215"/>
        <item x="139"/>
        <item x="31"/>
        <item x="32"/>
        <item x="216"/>
        <item x="112"/>
        <item x="33"/>
        <item x="130"/>
        <item x="34"/>
        <item x="175"/>
        <item x="35"/>
        <item x="184"/>
        <item x="36"/>
        <item x="177"/>
        <item x="37"/>
        <item x="0"/>
        <item x="105"/>
        <item x="38"/>
        <item x="39"/>
        <item x="40"/>
        <item x="224"/>
        <item x="213"/>
        <item x="1"/>
        <item x="143"/>
        <item x="217"/>
        <item x="41"/>
        <item x="131"/>
        <item x="42"/>
        <item x="106"/>
        <item x="43"/>
        <item x="182"/>
        <item x="144"/>
        <item x="145"/>
        <item x="241"/>
        <item x="44"/>
        <item x="185"/>
        <item x="48"/>
        <item x="2"/>
        <item x="181"/>
        <item x="45"/>
        <item x="46"/>
        <item x="47"/>
        <item x="146"/>
        <item x="3"/>
        <item x="49"/>
        <item x="147"/>
        <item x="4"/>
        <item x="210"/>
        <item x="218"/>
        <item x="225"/>
        <item x="242"/>
        <item x="107"/>
        <item x="132"/>
        <item x="50"/>
        <item x="148"/>
        <item x="149"/>
        <item x="140"/>
        <item x="51"/>
        <item x="203"/>
        <item x="102"/>
        <item x="52"/>
        <item x="5"/>
        <item x="113"/>
        <item x="53"/>
        <item x="54"/>
        <item x="6"/>
        <item x="194"/>
        <item x="219"/>
        <item x="226"/>
        <item x="55"/>
        <item x="211"/>
        <item x="196"/>
        <item x="227"/>
        <item x="192"/>
        <item x="229"/>
        <item x="58"/>
        <item x="206"/>
        <item x="176"/>
        <item x="155"/>
        <item x="56"/>
        <item x="204"/>
        <item x="150"/>
        <item x="151"/>
        <item x="108"/>
        <item x="212"/>
        <item x="186"/>
        <item x="152"/>
        <item x="57"/>
        <item x="228"/>
        <item x="187"/>
        <item x="153"/>
        <item x="154"/>
        <item x="59"/>
        <item x="7"/>
        <item x="243"/>
        <item x="60"/>
        <item x="8"/>
        <item x="61"/>
        <item x="205"/>
        <item x="62"/>
        <item x="114"/>
        <item x="63"/>
        <item x="64"/>
        <item x="244"/>
        <item x="200"/>
        <item x="191"/>
        <item x="156"/>
        <item x="9"/>
        <item x="230"/>
        <item x="65"/>
        <item x="10"/>
        <item x="11"/>
        <item x="127"/>
        <item x="12"/>
        <item x="66"/>
        <item x="115"/>
        <item x="67"/>
        <item x="116"/>
        <item x="172"/>
        <item x="173"/>
        <item x="68"/>
        <item x="188"/>
        <item x="69"/>
        <item x="133"/>
        <item x="109"/>
        <item x="157"/>
        <item x="70"/>
        <item x="13"/>
        <item x="71"/>
        <item x="137"/>
        <item x="14"/>
        <item x="72"/>
        <item x="193"/>
        <item x="73"/>
        <item x="117"/>
        <item x="189"/>
        <item x="231"/>
        <item x="74"/>
        <item x="183"/>
        <item x="118"/>
        <item x="79"/>
        <item x="232"/>
        <item x="190"/>
        <item x="83"/>
        <item x="237"/>
        <item x="80"/>
        <item x="158"/>
        <item x="159"/>
        <item x="160"/>
        <item x="250"/>
        <item x="75"/>
        <item x="76"/>
        <item x="119"/>
        <item x="161"/>
        <item x="16"/>
        <item x="15"/>
        <item x="77"/>
        <item x="78"/>
        <item x="120"/>
        <item x="17"/>
        <item x="141"/>
        <item x="195"/>
        <item x="121"/>
        <item x="18"/>
        <item x="81"/>
        <item x="162"/>
        <item x="178"/>
        <item x="197"/>
        <item x="82"/>
        <item x="128"/>
        <item x="134"/>
        <item x="163"/>
        <item x="19"/>
        <item x="233"/>
        <item x="251"/>
        <item x="234"/>
        <item x="220"/>
        <item x="101"/>
        <item x="179"/>
        <item x="198"/>
        <item x="84"/>
        <item x="122"/>
        <item x="164"/>
        <item x="20"/>
        <item x="165"/>
        <item x="103"/>
        <item x="166"/>
        <item x="123"/>
        <item x="209"/>
        <item x="167"/>
        <item x="235"/>
        <item x="85"/>
        <item x="236"/>
        <item x="201"/>
        <item x="168"/>
        <item x="169"/>
        <item x="124"/>
        <item x="199"/>
        <item x="86"/>
        <item x="87"/>
        <item x="246"/>
        <item x="88"/>
        <item x="207"/>
        <item x="89"/>
        <item x="90"/>
        <item x="21"/>
        <item x="245"/>
        <item x="110"/>
        <item x="221"/>
        <item x="135"/>
        <item x="91"/>
        <item x="92"/>
        <item x="93"/>
        <item x="94"/>
        <item x="125"/>
        <item x="129"/>
        <item x="95"/>
        <item x="96"/>
        <item x="170"/>
        <item x="202"/>
        <item x="247"/>
        <item x="97"/>
        <item x="174"/>
        <item x="22"/>
        <item x="23"/>
        <item x="222"/>
        <item x="126"/>
        <item x="238"/>
        <item x="28"/>
        <item x="24"/>
        <item x="98"/>
        <item x="171"/>
        <item x="136"/>
        <item x="99"/>
        <item x="252"/>
        <item x="25"/>
        <item x="100"/>
        <item x="26"/>
        <item x="208"/>
        <item x="27"/>
        <item x="239"/>
        <item x="248"/>
        <item x="142"/>
        <item x="18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Pending Bills" fld="2" baseField="0" baseItem="0"/>
    <dataField name="Sum of (&lt; 15 days )" fld="3" baseField="0" baseItem="0"/>
    <dataField name="Sum of 15 to 30 days" fld="4" baseField="0" baseItem="0"/>
    <dataField name="Sum of 30 to 45 days" fld="5" baseField="0" baseItem="0"/>
    <dataField name="Sum of 45 to 60 days" fld="6" baseField="0" baseItem="0"/>
    <dataField name="Sum of 60 to 90 days" fld="7" baseField="0" baseItem="0"/>
    <dataField name="Sum of 90 to 180 days" fld="8" baseField="0" baseItem="0"/>
    <dataField name="Sum of 180 to 365 days" fld="9" baseField="0" baseItem="0"/>
    <dataField name="Sum of 365 to 730 days" fld="10" baseField="0" baseItem="0"/>
    <dataField name="Sum of (&gt; 730 days )" fld="11" baseField="0" baseItem="0"/>
  </dataFields>
  <formats count="2">
    <format dxfId="398">
      <pivotArea outline="0" collapsedLevelsAreSubtotals="1" fieldPosition="0"/>
    </format>
    <format dxfId="397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1:O255" firstHeaderRow="1" firstDataRow="1" firstDataCol="1"/>
  <pivotFields count="2">
    <pivotField axis="axisRow" showAll="0">
      <items count="254">
        <item x="240"/>
        <item x="223"/>
        <item x="104"/>
        <item x="249"/>
        <item x="214"/>
        <item x="29"/>
        <item x="111"/>
        <item x="138"/>
        <item x="30"/>
        <item x="215"/>
        <item x="139"/>
        <item x="31"/>
        <item x="32"/>
        <item x="216"/>
        <item x="112"/>
        <item x="33"/>
        <item x="130"/>
        <item x="34"/>
        <item x="175"/>
        <item x="35"/>
        <item x="184"/>
        <item x="36"/>
        <item x="177"/>
        <item x="37"/>
        <item x="0"/>
        <item x="105"/>
        <item x="38"/>
        <item x="39"/>
        <item x="40"/>
        <item x="224"/>
        <item x="213"/>
        <item x="1"/>
        <item x="143"/>
        <item x="217"/>
        <item x="41"/>
        <item x="131"/>
        <item x="42"/>
        <item x="106"/>
        <item x="43"/>
        <item x="182"/>
        <item x="144"/>
        <item x="145"/>
        <item x="241"/>
        <item x="44"/>
        <item x="185"/>
        <item x="48"/>
        <item x="2"/>
        <item x="181"/>
        <item x="45"/>
        <item x="46"/>
        <item x="47"/>
        <item x="146"/>
        <item x="3"/>
        <item x="49"/>
        <item x="147"/>
        <item x="4"/>
        <item x="210"/>
        <item x="218"/>
        <item x="225"/>
        <item x="242"/>
        <item x="107"/>
        <item x="132"/>
        <item x="50"/>
        <item x="148"/>
        <item x="149"/>
        <item x="140"/>
        <item x="51"/>
        <item x="203"/>
        <item x="102"/>
        <item x="52"/>
        <item x="5"/>
        <item x="113"/>
        <item x="53"/>
        <item x="54"/>
        <item x="6"/>
        <item x="194"/>
        <item x="219"/>
        <item x="226"/>
        <item x="55"/>
        <item x="211"/>
        <item x="196"/>
        <item x="227"/>
        <item x="192"/>
        <item x="229"/>
        <item x="58"/>
        <item x="206"/>
        <item x="176"/>
        <item x="155"/>
        <item x="56"/>
        <item x="204"/>
        <item x="150"/>
        <item x="151"/>
        <item x="108"/>
        <item x="212"/>
        <item x="186"/>
        <item x="152"/>
        <item x="57"/>
        <item x="228"/>
        <item x="187"/>
        <item x="153"/>
        <item x="154"/>
        <item x="59"/>
        <item x="7"/>
        <item x="243"/>
        <item x="60"/>
        <item x="8"/>
        <item x="61"/>
        <item x="205"/>
        <item x="62"/>
        <item x="114"/>
        <item x="63"/>
        <item x="64"/>
        <item x="244"/>
        <item x="200"/>
        <item x="191"/>
        <item x="156"/>
        <item x="9"/>
        <item x="230"/>
        <item x="65"/>
        <item x="10"/>
        <item x="11"/>
        <item x="127"/>
        <item x="12"/>
        <item x="66"/>
        <item x="115"/>
        <item x="67"/>
        <item x="116"/>
        <item x="172"/>
        <item x="173"/>
        <item x="68"/>
        <item x="188"/>
        <item x="69"/>
        <item x="133"/>
        <item x="109"/>
        <item x="157"/>
        <item x="70"/>
        <item x="13"/>
        <item x="71"/>
        <item x="137"/>
        <item x="14"/>
        <item x="72"/>
        <item x="193"/>
        <item x="73"/>
        <item x="117"/>
        <item x="189"/>
        <item x="231"/>
        <item x="74"/>
        <item x="183"/>
        <item x="118"/>
        <item x="79"/>
        <item x="232"/>
        <item x="190"/>
        <item x="83"/>
        <item x="237"/>
        <item x="80"/>
        <item x="158"/>
        <item x="159"/>
        <item x="160"/>
        <item x="250"/>
        <item x="75"/>
        <item x="76"/>
        <item x="119"/>
        <item x="161"/>
        <item x="16"/>
        <item x="15"/>
        <item x="77"/>
        <item x="78"/>
        <item x="120"/>
        <item x="17"/>
        <item x="141"/>
        <item x="195"/>
        <item x="121"/>
        <item x="18"/>
        <item x="81"/>
        <item x="162"/>
        <item x="178"/>
        <item x="197"/>
        <item x="82"/>
        <item x="128"/>
        <item x="134"/>
        <item x="163"/>
        <item x="19"/>
        <item x="233"/>
        <item x="251"/>
        <item x="234"/>
        <item x="220"/>
        <item x="101"/>
        <item x="179"/>
        <item x="198"/>
        <item x="84"/>
        <item x="122"/>
        <item x="164"/>
        <item x="20"/>
        <item x="165"/>
        <item x="103"/>
        <item x="166"/>
        <item x="123"/>
        <item x="209"/>
        <item x="167"/>
        <item x="235"/>
        <item x="85"/>
        <item x="236"/>
        <item x="201"/>
        <item x="168"/>
        <item x="169"/>
        <item x="124"/>
        <item x="199"/>
        <item x="86"/>
        <item x="87"/>
        <item x="246"/>
        <item x="88"/>
        <item x="207"/>
        <item x="89"/>
        <item x="90"/>
        <item x="21"/>
        <item x="245"/>
        <item x="110"/>
        <item x="221"/>
        <item x="135"/>
        <item x="91"/>
        <item x="92"/>
        <item x="93"/>
        <item x="94"/>
        <item x="125"/>
        <item x="129"/>
        <item x="95"/>
        <item x="96"/>
        <item x="170"/>
        <item x="202"/>
        <item x="247"/>
        <item x="97"/>
        <item x="174"/>
        <item x="22"/>
        <item x="23"/>
        <item x="222"/>
        <item x="126"/>
        <item x="238"/>
        <item x="28"/>
        <item x="24"/>
        <item x="98"/>
        <item x="171"/>
        <item x="136"/>
        <item x="99"/>
        <item x="252"/>
        <item x="25"/>
        <item x="100"/>
        <item x="26"/>
        <item x="208"/>
        <item x="27"/>
        <item x="239"/>
        <item x="248"/>
        <item x="142"/>
        <item x="180"/>
        <item t="default"/>
      </items>
    </pivotField>
    <pivotField dataField="1" showAll="0"/>
  </pivotFields>
  <rowFields count="1">
    <field x="0"/>
  </rowFields>
  <rowItems count="2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 t="grand">
      <x/>
    </i>
  </rowItems>
  <colItems count="1">
    <i/>
  </colItems>
  <dataFields count="1">
    <dataField name="Sum of Pending Bills" fld="1" baseField="0" baseItem="0" numFmtId="168"/>
  </dataFields>
  <formats count="2">
    <format dxfId="396">
      <pivotArea outline="0" collapsedLevelsAreSubtotals="1" fieldPosition="0"/>
    </format>
    <format dxfId="39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2:L6" totalsRowCount="1">
  <autoFilter ref="A2:L5"/>
  <tableColumns count="12">
    <tableColumn id="1" name="ASM"/>
    <tableColumn id="2" name="Particulars" totalsRowLabel="Total"/>
    <tableColumn id="3" name="Pending Bills" totalsRowFunction="sum" dataDxfId="392" totalsRowDxfId="391" dataCellStyle="Comma"/>
    <tableColumn id="4" name="(&lt; 15 days )" totalsRowFunction="sum" dataDxfId="390" totalsRowDxfId="389" dataCellStyle="Comma"/>
    <tableColumn id="5" name="15 to 30 days" totalsRowFunction="sum" dataDxfId="388" totalsRowDxfId="387" dataCellStyle="Comma"/>
    <tableColumn id="6" name="30 to 45 days" totalsRowFunction="sum" dataDxfId="386" totalsRowDxfId="385" dataCellStyle="Comma"/>
    <tableColumn id="7" name="45 to 60 days" totalsRowFunction="sum" dataDxfId="384" totalsRowDxfId="383" dataCellStyle="Comma"/>
    <tableColumn id="8" name="60 to 90 days" totalsRowFunction="sum" dataDxfId="382" totalsRowDxfId="381" dataCellStyle="Comma"/>
    <tableColumn id="9" name="90 to 180 days" totalsRowFunction="sum" dataDxfId="380" totalsRowDxfId="379" dataCellStyle="Comma"/>
    <tableColumn id="10" name="180 to 365 days" totalsRowFunction="sum" dataDxfId="378" totalsRowDxfId="377" dataCellStyle="Comma"/>
    <tableColumn id="11" name="365 to 730 days" totalsRowFunction="sum" dataDxfId="376" totalsRowDxfId="375" dataCellStyle="Comma"/>
    <tableColumn id="12" name="(&gt; 730 days )" totalsRowFunction="sum" dataDxfId="374" totalsRowDxfId="373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9:L19" totalsRowShown="0">
  <autoFilter ref="A9:L19"/>
  <tableColumns count="12">
    <tableColumn id="1" name="ASM"/>
    <tableColumn id="2" name="Particulars"/>
    <tableColumn id="3" name="Pending Bills" dataDxfId="372" dataCellStyle="Comma"/>
    <tableColumn id="4" name="(&lt; 15 days )" dataDxfId="371" dataCellStyle="Comma"/>
    <tableColumn id="5" name="15 to 30 days" dataDxfId="370" dataCellStyle="Comma"/>
    <tableColumn id="6" name="30 to 45 days" dataDxfId="369" dataCellStyle="Comma"/>
    <tableColumn id="7" name="45 to 60 days" dataDxfId="368" dataCellStyle="Comma"/>
    <tableColumn id="8" name="60 to 90 days" dataDxfId="367" dataCellStyle="Comma"/>
    <tableColumn id="9" name="90 to 180 days" dataDxfId="366" dataCellStyle="Comma"/>
    <tableColumn id="10" name="180 to 365 days" dataDxfId="365" dataCellStyle="Comma"/>
    <tableColumn id="11" name="365 to 730 days" dataDxfId="364" dataCellStyle="Comma"/>
    <tableColumn id="12" name="(&gt; 730 days )" dataDxfId="363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22:L27" totalsRowShown="0">
  <autoFilter ref="A22:L27"/>
  <tableColumns count="12">
    <tableColumn id="1" name="ASM"/>
    <tableColumn id="2" name="Particulars"/>
    <tableColumn id="3" name="Pending Bills" dataDxfId="362" dataCellStyle="Comma"/>
    <tableColumn id="4" name="(&lt; 15 days )" dataDxfId="361" dataCellStyle="Comma"/>
    <tableColumn id="5" name="15 to 30 days" dataDxfId="360" dataCellStyle="Comma"/>
    <tableColumn id="6" name="30 to 45 days" dataDxfId="359" dataCellStyle="Comma"/>
    <tableColumn id="7" name="45 to 60 days" dataDxfId="358" dataCellStyle="Comma"/>
    <tableColumn id="8" name="60 to 90 days" dataDxfId="357" dataCellStyle="Comma"/>
    <tableColumn id="9" name="90 to 180 days" dataDxfId="356" dataCellStyle="Comma"/>
    <tableColumn id="10" name="180 to 365 days" dataDxfId="355" dataCellStyle="Comma"/>
    <tableColumn id="11" name="365 to 730 days" dataDxfId="354" dataCellStyle="Comma"/>
    <tableColumn id="12" name="(&gt; 730 days )" dataDxfId="353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2:L6" totalsRowCount="1">
  <autoFilter ref="A2:L5"/>
  <tableColumns count="12">
    <tableColumn id="1" name="ASM"/>
    <tableColumn id="2" name="Particulars" totalsRowLabel="Total" totalsRowDxfId="352"/>
    <tableColumn id="3" name="Pending Bills" totalsRowFunction="sum" dataDxfId="351" totalsRowDxfId="350" dataCellStyle="Comma"/>
    <tableColumn id="4" name="(&lt; 15 days )" totalsRowFunction="sum" dataDxfId="349" totalsRowDxfId="348" dataCellStyle="Comma"/>
    <tableColumn id="5" name="15 to 30 days" totalsRowFunction="sum" dataDxfId="347" totalsRowDxfId="346" dataCellStyle="Comma"/>
    <tableColumn id="6" name="30 to 45 days" totalsRowFunction="sum" dataDxfId="345" totalsRowDxfId="344" dataCellStyle="Comma"/>
    <tableColumn id="7" name="45 to 60 days" totalsRowFunction="sum" dataDxfId="343" totalsRowDxfId="342" dataCellStyle="Comma"/>
    <tableColumn id="8" name="60 to 90 days" totalsRowFunction="sum" dataDxfId="341" totalsRowDxfId="340" dataCellStyle="Comma"/>
    <tableColumn id="9" name="90 to 180 days" totalsRowFunction="sum" dataDxfId="339" totalsRowDxfId="338" dataCellStyle="Comma"/>
    <tableColumn id="10" name="180 to 365 days" totalsRowFunction="sum" dataDxfId="337" totalsRowDxfId="336" dataCellStyle="Comma"/>
    <tableColumn id="11" name="365 to 730 days" totalsRowFunction="sum" dataDxfId="335" totalsRowDxfId="334" dataCellStyle="Comma"/>
    <tableColumn id="12" name="(&gt; 730 days )" totalsRowFunction="sum" dataDxfId="333" totalsRowDxfId="332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A9:L13" totalsRowCount="1">
  <autoFilter ref="A9:L12"/>
  <tableColumns count="12">
    <tableColumn id="1" name="ASM"/>
    <tableColumn id="2" name="Particulars" totalsRowLabel="Total" totalsRowDxfId="331"/>
    <tableColumn id="3" name="Pending Bills" totalsRowFunction="sum" dataDxfId="330" totalsRowDxfId="329" dataCellStyle="Comma"/>
    <tableColumn id="4" name="(&lt; 15 days )" totalsRowFunction="sum" dataDxfId="328" totalsRowDxfId="327" dataCellStyle="Comma"/>
    <tableColumn id="5" name="15 to 30 days" totalsRowFunction="sum" dataDxfId="326" totalsRowDxfId="325" dataCellStyle="Comma"/>
    <tableColumn id="6" name="30 to 45 days" totalsRowFunction="sum" dataDxfId="324" totalsRowDxfId="323" dataCellStyle="Comma"/>
    <tableColumn id="7" name="45 to 60 days" totalsRowFunction="sum" dataDxfId="322" totalsRowDxfId="321" dataCellStyle="Comma"/>
    <tableColumn id="8" name="60 to 90 days" totalsRowFunction="sum" dataDxfId="320" totalsRowDxfId="319" dataCellStyle="Comma"/>
    <tableColumn id="9" name="90 to 180 days" totalsRowFunction="sum" dataDxfId="318" totalsRowDxfId="317" dataCellStyle="Comma"/>
    <tableColumn id="10" name="180 to 365 days" totalsRowFunction="sum" dataDxfId="316" totalsRowDxfId="315" dataCellStyle="Comma"/>
    <tableColumn id="11" name="365 to 730 days" totalsRowFunction="sum" dataDxfId="314" totalsRowDxfId="313" dataCellStyle="Comma"/>
    <tableColumn id="12" name="(&gt; 730 days )" totalsRowFunction="sum" dataDxfId="312" totalsRowDxfId="311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16:L21" totalsRowCount="1">
  <autoFilter ref="A16:L20"/>
  <tableColumns count="12">
    <tableColumn id="1" name="ASM"/>
    <tableColumn id="2" name="Particulars" totalsRowLabel="Total" totalsRowDxfId="310"/>
    <tableColumn id="3" name="Pending Bills" totalsRowFunction="sum" dataDxfId="309" totalsRowDxfId="308" dataCellStyle="Comma"/>
    <tableColumn id="4" name="(&lt; 15 days )" totalsRowFunction="sum" dataDxfId="307" totalsRowDxfId="306" dataCellStyle="Comma"/>
    <tableColumn id="5" name="15 to 30 days" totalsRowFunction="sum" dataDxfId="305" totalsRowDxfId="304" dataCellStyle="Comma"/>
    <tableColumn id="6" name="30 to 45 days" totalsRowFunction="sum" dataDxfId="303" totalsRowDxfId="302" dataCellStyle="Comma"/>
    <tableColumn id="7" name="45 to 60 days" totalsRowFunction="sum" dataDxfId="301" totalsRowDxfId="300" dataCellStyle="Comma"/>
    <tableColumn id="8" name="60 to 90 days" totalsRowFunction="sum" dataDxfId="299" totalsRowDxfId="298" dataCellStyle="Comma"/>
    <tableColumn id="9" name="90 to 180 days" totalsRowFunction="sum" dataDxfId="297" totalsRowDxfId="296" dataCellStyle="Comma"/>
    <tableColumn id="10" name="180 to 365 days" totalsRowFunction="sum" dataDxfId="295" totalsRowDxfId="294" dataCellStyle="Comma"/>
    <tableColumn id="11" name="365 to 730 days" totalsRowFunction="sum" dataDxfId="293" totalsRowDxfId="292" dataCellStyle="Comma"/>
    <tableColumn id="12" name="(&gt; 730 days )" totalsRowFunction="sum" dataDxfId="291" totalsRowDxfId="290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24:L29" totalsRowCount="1">
  <autoFilter ref="A24:L28"/>
  <tableColumns count="12">
    <tableColumn id="1" name="ASM"/>
    <tableColumn id="2" name="Particulars"/>
    <tableColumn id="3" name="Pending Bills" totalsRowFunction="sum" dataDxfId="289" totalsRowDxfId="288" dataCellStyle="Comma"/>
    <tableColumn id="4" name="(&lt; 15 days )" totalsRowFunction="sum" dataDxfId="287" totalsRowDxfId="286" dataCellStyle="Comma"/>
    <tableColumn id="5" name="15 to 30 days" totalsRowFunction="sum" dataDxfId="285" totalsRowDxfId="284" dataCellStyle="Comma"/>
    <tableColumn id="6" name="30 to 45 days" totalsRowFunction="sum" dataDxfId="283" totalsRowDxfId="282" dataCellStyle="Comma"/>
    <tableColumn id="7" name="45 to 60 days" totalsRowFunction="sum" dataDxfId="281" totalsRowDxfId="280" dataCellStyle="Comma"/>
    <tableColumn id="8" name="60 to 90 days" totalsRowFunction="sum" dataDxfId="279" totalsRowDxfId="278" dataCellStyle="Comma"/>
    <tableColumn id="9" name="90 to 180 days" totalsRowFunction="sum" dataDxfId="277" totalsRowDxfId="276" dataCellStyle="Comma"/>
    <tableColumn id="10" name="180 to 365 days" totalsRowFunction="sum" dataDxfId="275" totalsRowDxfId="274" dataCellStyle="Comma"/>
    <tableColumn id="11" name="365 to 730 days" totalsRowFunction="sum" dataDxfId="273" totalsRowDxfId="272" dataCellStyle="Comma"/>
    <tableColumn id="12" name="(&gt; 730 days )" totalsRowFunction="sum" dataDxfId="271" totalsRowDxfId="27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A32:L39" totalsRowCount="1">
  <autoFilter ref="A32:L38"/>
  <tableColumns count="12">
    <tableColumn id="1" name="ASM"/>
    <tableColumn id="2" name="Particulars"/>
    <tableColumn id="3" name="Pending Bills" totalsRowFunction="sum" dataDxfId="269" totalsRowDxfId="268" dataCellStyle="Comma"/>
    <tableColumn id="4" name="(&lt; 15 days )" totalsRowFunction="sum" dataDxfId="267" totalsRowDxfId="266" dataCellStyle="Comma"/>
    <tableColumn id="5" name="15 to 30 days" totalsRowFunction="sum" dataDxfId="265" totalsRowDxfId="264" dataCellStyle="Comma"/>
    <tableColumn id="6" name="30 to 45 days" totalsRowFunction="sum" dataDxfId="263" totalsRowDxfId="262" dataCellStyle="Comma"/>
    <tableColumn id="7" name="45 to 60 days" totalsRowFunction="sum" dataDxfId="261" totalsRowDxfId="260" dataCellStyle="Comma"/>
    <tableColumn id="8" name="60 to 90 days" totalsRowFunction="sum" dataDxfId="259" totalsRowDxfId="258" dataCellStyle="Comma"/>
    <tableColumn id="9" name="90 to 180 days" totalsRowFunction="sum" dataDxfId="257" totalsRowDxfId="256" dataCellStyle="Comma"/>
    <tableColumn id="10" name="180 to 365 days" totalsRowFunction="sum" dataDxfId="255" totalsRowDxfId="254" dataCellStyle="Comma"/>
    <tableColumn id="11" name="365 to 730 days" totalsRowFunction="sum" dataDxfId="253" totalsRowDxfId="252" dataCellStyle="Comma"/>
    <tableColumn id="12" name="(&gt; 730 days )" totalsRowFunction="sum" dataDxfId="251" totalsRowDxfId="250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2:L11" totalsRowCount="1">
  <autoFilter ref="A2:L10"/>
  <tableColumns count="12">
    <tableColumn id="1" name="ASM"/>
    <tableColumn id="2" name="Particulars" totalsRowLabel="Grand Total" totalsRowDxfId="249"/>
    <tableColumn id="3" name="Pending Bills" totalsRowFunction="sum" dataDxfId="248" totalsRowDxfId="247" dataCellStyle="Comma"/>
    <tableColumn id="4" name="(&lt; 15 days )" totalsRowFunction="sum" dataDxfId="246" totalsRowDxfId="245" dataCellStyle="Comma"/>
    <tableColumn id="5" name="15 to 30 days" totalsRowFunction="sum" dataDxfId="244" totalsRowDxfId="243" dataCellStyle="Comma"/>
    <tableColumn id="6" name="30 to 45 days" totalsRowFunction="sum" dataDxfId="242" totalsRowDxfId="241" dataCellStyle="Comma"/>
    <tableColumn id="7" name="45 to 60 days" totalsRowFunction="sum" dataDxfId="240" totalsRowDxfId="239" dataCellStyle="Comma"/>
    <tableColumn id="8" name="60 to 90 days" totalsRowFunction="sum" dataDxfId="238" totalsRowDxfId="237" dataCellStyle="Comma"/>
    <tableColumn id="9" name="90 to 180 days" totalsRowFunction="sum" dataDxfId="236" totalsRowDxfId="235" dataCellStyle="Comma"/>
    <tableColumn id="10" name="180 to 365 days" totalsRowFunction="sum" dataDxfId="234" totalsRowDxfId="233" dataCellStyle="Comma"/>
    <tableColumn id="11" name="365 to 730 days" totalsRowFunction="sum" dataDxfId="232" totalsRowDxfId="231" dataCellStyle="Comma"/>
    <tableColumn id="12" name="(&gt; 730 days )" totalsRowFunction="sum" dataDxfId="230" totalsRowDxfId="229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4" name="Table14" displayName="Table14" ref="A2:L20" totalsRowCount="1" headerRowDxfId="228" dataDxfId="227" totalsRowDxfId="226">
  <autoFilter ref="A2:L19"/>
  <tableColumns count="12">
    <tableColumn id="1" name="ASM" dataDxfId="225" totalsRowDxfId="224"/>
    <tableColumn id="2" name="Particulars" totalsRowLabel="Grand Total" dataDxfId="223" totalsRowDxfId="222"/>
    <tableColumn id="3" name="Pending Bills" totalsRowFunction="sum" dataDxfId="221" totalsRowDxfId="220" dataCellStyle="Comma"/>
    <tableColumn id="4" name="(&lt; 15 days )" totalsRowFunction="sum" dataDxfId="219" totalsRowDxfId="218" dataCellStyle="Comma"/>
    <tableColumn id="5" name="15 to 30 days" totalsRowFunction="sum" dataDxfId="217" totalsRowDxfId="216" dataCellStyle="Comma"/>
    <tableColumn id="6" name="30 to 45 days" totalsRowFunction="sum" dataDxfId="215" totalsRowDxfId="214" dataCellStyle="Comma"/>
    <tableColumn id="7" name="45 to 60 days" totalsRowFunction="sum" dataDxfId="213" totalsRowDxfId="212" dataCellStyle="Comma"/>
    <tableColumn id="8" name="60 to 90 days" totalsRowFunction="sum" dataDxfId="211" totalsRowDxfId="210" dataCellStyle="Comma"/>
    <tableColumn id="9" name="90 to 180 days" totalsRowFunction="sum" dataDxfId="209" totalsRowDxfId="208" dataCellStyle="Comma"/>
    <tableColumn id="10" name="180 to 365 days" totalsRowFunction="sum" dataDxfId="207" totalsRowDxfId="206" dataCellStyle="Comma"/>
    <tableColumn id="11" name="365 to 730 days" totalsRowFunction="sum" dataDxfId="205" totalsRowDxfId="204" dataCellStyle="Comma"/>
    <tableColumn id="12" name="(&gt; 730 days )" totalsRowFunction="sum" dataDxfId="203" totalsRowDxfId="202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5" name="Table15" displayName="Table15" ref="A2:L5" totalsRowCount="1" totalsRowDxfId="201" totalsRowBorderDxfId="200">
  <autoFilter ref="A2:L4"/>
  <tableColumns count="12">
    <tableColumn id="1" name="ASM" totalsRowDxfId="199"/>
    <tableColumn id="2" name="Particulars" totalsRowLabel="Grand Total" totalsRowDxfId="198"/>
    <tableColumn id="3" name="Pending Bills" totalsRowFunction="sum" dataDxfId="197" totalsRowDxfId="196" dataCellStyle="Comma"/>
    <tableColumn id="4" name="(&lt; 15 days )" totalsRowFunction="sum" dataDxfId="195" totalsRowDxfId="194" dataCellStyle="Comma"/>
    <tableColumn id="5" name="15 to 30 days" totalsRowFunction="sum" dataDxfId="193" totalsRowDxfId="192" dataCellStyle="Comma"/>
    <tableColumn id="6" name="30 to 45 days" totalsRowFunction="sum" dataDxfId="191" totalsRowDxfId="190" dataCellStyle="Comma"/>
    <tableColumn id="7" name="45 to 60 days" totalsRowFunction="sum" dataDxfId="189" totalsRowDxfId="188" dataCellStyle="Comma"/>
    <tableColumn id="8" name="60 to 90 days" totalsRowFunction="sum" dataDxfId="187" totalsRowDxfId="186" dataCellStyle="Comma"/>
    <tableColumn id="9" name="90 to 180 days" totalsRowFunction="sum" dataDxfId="185" totalsRowDxfId="184" dataCellStyle="Comma"/>
    <tableColumn id="10" name="180 to 365 days" totalsRowFunction="sum" dataDxfId="183" totalsRowDxfId="182" dataCellStyle="Comma"/>
    <tableColumn id="11" name="365 to 730 days" totalsRowFunction="sum" dataDxfId="181" totalsRowDxfId="180" dataCellStyle="Comma"/>
    <tableColumn id="12" name="(&gt; 730 days )" totalsRowFunction="sum" dataDxfId="179" totalsRowDxfId="178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9" name="Table19" displayName="Table19" ref="A2:L6" totalsRowCount="1" totalsRowDxfId="177" totalsRowBorderDxfId="176">
  <autoFilter ref="A2:L5"/>
  <tableColumns count="12">
    <tableColumn id="1" name="ASM" totalsRowDxfId="175"/>
    <tableColumn id="2" name="Particulars" totalsRowLabel="Grand Total" totalsRowDxfId="174"/>
    <tableColumn id="3" name="Pending Bills" totalsRowFunction="sum" dataDxfId="173" totalsRowDxfId="172" dataCellStyle="Comma"/>
    <tableColumn id="4" name="(&lt; 15 days )" totalsRowFunction="sum" dataDxfId="171" totalsRowDxfId="170" dataCellStyle="Comma"/>
    <tableColumn id="5" name="15 to 30 days" totalsRowFunction="sum" dataDxfId="169" totalsRowDxfId="168" dataCellStyle="Comma"/>
    <tableColumn id="6" name="30 to 45 days" totalsRowFunction="sum" dataDxfId="167" totalsRowDxfId="166" dataCellStyle="Comma"/>
    <tableColumn id="7" name="45 to 60 days" totalsRowFunction="sum" dataDxfId="165" totalsRowDxfId="164" dataCellStyle="Comma"/>
    <tableColumn id="8" name="60 to 90 days" totalsRowFunction="sum" dataDxfId="163" totalsRowDxfId="162" dataCellStyle="Comma"/>
    <tableColumn id="9" name="90 to 180 days" totalsRowFunction="sum" dataDxfId="161" totalsRowDxfId="160" dataCellStyle="Comma"/>
    <tableColumn id="10" name="180 to 365 days" totalsRowFunction="sum" dataDxfId="159" totalsRowDxfId="158" dataCellStyle="Comma"/>
    <tableColumn id="11" name="365 to 730 days" totalsRowFunction="sum" dataDxfId="157" totalsRowDxfId="156" dataCellStyle="Comma"/>
    <tableColumn id="12" name="(&gt; 730 days )" totalsRowFunction="sum" dataDxfId="155" totalsRowDxfId="154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6" name="Table16" displayName="Table16" ref="A2:L8" totalsRowCount="1" totalsRowDxfId="153" totalsRowBorderDxfId="152">
  <autoFilter ref="A2:L7"/>
  <tableColumns count="12">
    <tableColumn id="1" name="ASM" totalsRowDxfId="151"/>
    <tableColumn id="2" name="Particulars" totalsRowLabel="Grand Total" totalsRowDxfId="150"/>
    <tableColumn id="3" name="Pending Bills" totalsRowFunction="sum" dataDxfId="149" totalsRowDxfId="148" dataCellStyle="Comma"/>
    <tableColumn id="4" name="(&lt; 15 days )" totalsRowFunction="sum" dataDxfId="147" totalsRowDxfId="146" dataCellStyle="Comma"/>
    <tableColumn id="5" name="15 to 30 days" totalsRowFunction="sum" dataDxfId="145" totalsRowDxfId="144" dataCellStyle="Comma"/>
    <tableColumn id="6" name="30 to 45 days" totalsRowFunction="sum" dataDxfId="143" totalsRowDxfId="142" dataCellStyle="Comma"/>
    <tableColumn id="7" name="45 to 60 days" totalsRowFunction="sum" dataDxfId="141" totalsRowDxfId="140" dataCellStyle="Comma"/>
    <tableColumn id="8" name="60 to 90 days" totalsRowFunction="sum" dataDxfId="139" totalsRowDxfId="138" dataCellStyle="Comma"/>
    <tableColumn id="9" name="90 to 180 days" totalsRowFunction="sum" dataDxfId="137" totalsRowDxfId="136" dataCellStyle="Comma"/>
    <tableColumn id="10" name="180 to 365 days" totalsRowFunction="sum" dataDxfId="135" totalsRowDxfId="134" dataCellStyle="Comma"/>
    <tableColumn id="11" name="365 to 730 days" totalsRowFunction="sum" dataDxfId="133" totalsRowDxfId="132" dataCellStyle="Comma"/>
    <tableColumn id="12" name="(&gt; 730 days )" totalsRowFunction="sum" dataDxfId="131" totalsRowDxfId="130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7" name="Table17" displayName="Table17" ref="A2:L51" totalsRowCount="1" totalsRowDxfId="129" totalsRowBorderDxfId="128">
  <autoFilter ref="A2:L50"/>
  <tableColumns count="12">
    <tableColumn id="1" name="ASM" totalsRowDxfId="127"/>
    <tableColumn id="2" name="Particulars" totalsRowLabel="Grand Total" totalsRowDxfId="126"/>
    <tableColumn id="3" name="Pending Bills" totalsRowFunction="sum" dataDxfId="125" totalsRowDxfId="124" dataCellStyle="Comma"/>
    <tableColumn id="4" name="(&lt; 15 days )" totalsRowFunction="sum" dataDxfId="123" totalsRowDxfId="122" dataCellStyle="Comma"/>
    <tableColumn id="5" name="15 to 30 days" totalsRowFunction="sum" dataDxfId="121" totalsRowDxfId="120" dataCellStyle="Comma"/>
    <tableColumn id="6" name="30 to 45 days" totalsRowFunction="sum" dataDxfId="119" totalsRowDxfId="118" dataCellStyle="Comma"/>
    <tableColumn id="7" name="45 to 60 days" totalsRowFunction="sum" dataDxfId="117" totalsRowDxfId="116" dataCellStyle="Comma"/>
    <tableColumn id="8" name="60 to 90 days" totalsRowFunction="sum" dataDxfId="115" totalsRowDxfId="114" dataCellStyle="Comma"/>
    <tableColumn id="9" name="90 to 180 days" totalsRowFunction="sum" dataDxfId="113" totalsRowDxfId="112" dataCellStyle="Comma"/>
    <tableColumn id="10" name="180 to 365 days" totalsRowFunction="sum" dataDxfId="111" totalsRowDxfId="110" dataCellStyle="Comma"/>
    <tableColumn id="11" name="365 to 730 days" totalsRowFunction="sum" dataDxfId="109" totalsRowDxfId="108" dataCellStyle="Comma"/>
    <tableColumn id="12" name="(&gt; 730 days )" totalsRowFunction="sum" dataDxfId="107" totalsRowDxfId="106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8" name="Table18" displayName="Table18" ref="A2:L3" totalsRowShown="0">
  <autoFilter ref="A2:L3"/>
  <tableColumns count="12">
    <tableColumn id="1" name="ASM"/>
    <tableColumn id="2" name="Particulars"/>
    <tableColumn id="3" name="Pending Bills" dataDxfId="105" dataCellStyle="Comma"/>
    <tableColumn id="4" name="(&lt; 15 days )" dataDxfId="104" dataCellStyle="Comma"/>
    <tableColumn id="5" name="15 to 30 days" dataDxfId="103" dataCellStyle="Comma"/>
    <tableColumn id="6" name="30 to 45 days" dataDxfId="102" dataCellStyle="Comma"/>
    <tableColumn id="7" name="45 to 60 days" dataDxfId="101" dataCellStyle="Comma"/>
    <tableColumn id="8" name="60 to 90 days" dataDxfId="100" dataCellStyle="Comma"/>
    <tableColumn id="9" name="90 to 180 days" dataDxfId="99" dataCellStyle="Comma"/>
    <tableColumn id="10" name="180 to 365 days" dataDxfId="98" dataCellStyle="Comma"/>
    <tableColumn id="11" name="365 to 730 days" dataDxfId="97" dataCellStyle="Comma"/>
    <tableColumn id="12" name="(&gt; 730 days )" dataDxfId="96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0" name="Table20" displayName="Table20" ref="A2:L12" totalsRowShown="0" headerRowDxfId="95" dataDxfId="94">
  <autoFilter ref="A2:L12"/>
  <tableColumns count="12">
    <tableColumn id="1" name="ASM" dataDxfId="93"/>
    <tableColumn id="2" name="Particulars" dataDxfId="92"/>
    <tableColumn id="3" name="Pending Bills" dataDxfId="91" dataCellStyle="Comma"/>
    <tableColumn id="4" name="(&lt; 15 days )" dataDxfId="90" dataCellStyle="Comma"/>
    <tableColumn id="5" name="15 to 30 days" dataDxfId="89" dataCellStyle="Comma"/>
    <tableColumn id="6" name="30 to 45 days" dataDxfId="88" dataCellStyle="Comma"/>
    <tableColumn id="7" name="45 to 60 days" dataDxfId="87" dataCellStyle="Comma"/>
    <tableColumn id="8" name="60 to 90 days" dataDxfId="86" dataCellStyle="Comma"/>
    <tableColumn id="9" name="90 to 180 days" dataDxfId="85" dataCellStyle="Comma"/>
    <tableColumn id="10" name="180 to 365 days" dataDxfId="84" dataCellStyle="Comma"/>
    <tableColumn id="11" name="365 to 730 days" dataDxfId="83" dataCellStyle="Comma"/>
    <tableColumn id="12" name="(&gt; 730 days )" dataDxfId="82" dataCellStyle="Comm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1" name="Table11" displayName="Table11" ref="A2:L42" totalsRowCount="1" headerRowDxfId="81" dataDxfId="80" totalsRowDxfId="79">
  <autoFilter ref="A2:L41"/>
  <tableColumns count="12">
    <tableColumn id="1" name="ASM" dataDxfId="78" totalsRowDxfId="77"/>
    <tableColumn id="2" name="Particulars" totalsRowLabel="Total" dataDxfId="76" totalsRowDxfId="75"/>
    <tableColumn id="3" name="Pending Bills" totalsRowFunction="sum" dataDxfId="74" totalsRowDxfId="73" dataCellStyle="Comma"/>
    <tableColumn id="4" name="(&lt; 15 days )" totalsRowFunction="sum" dataDxfId="72" totalsRowDxfId="71" dataCellStyle="Comma"/>
    <tableColumn id="5" name="15 to 30 days" totalsRowFunction="sum" dataDxfId="70" totalsRowDxfId="69" dataCellStyle="Comma"/>
    <tableColumn id="6" name="30 to 45 days" totalsRowFunction="sum" dataDxfId="68" totalsRowDxfId="67" dataCellStyle="Comma"/>
    <tableColumn id="7" name="45 to 60 days" totalsRowFunction="sum" dataDxfId="66" totalsRowDxfId="65" dataCellStyle="Comma"/>
    <tableColumn id="8" name="60 to 90 days" totalsRowFunction="sum" dataDxfId="64" totalsRowDxfId="63" dataCellStyle="Comma"/>
    <tableColumn id="9" name="90 to 180 days" totalsRowFunction="sum" dataDxfId="62" totalsRowDxfId="61" dataCellStyle="Comma"/>
    <tableColumn id="10" name="180 to 365 days" totalsRowFunction="sum" dataDxfId="60" totalsRowDxfId="59" dataCellStyle="Comma"/>
    <tableColumn id="11" name="365 to 730 days" totalsRowFunction="sum" dataDxfId="58" totalsRowDxfId="57" dataCellStyle="Comma"/>
    <tableColumn id="12" name="(&gt; 730 days )" totalsRowFunction="sum" dataDxfId="56" totalsRowDxfId="55" dataCellStyle="Comm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2" name="Table12" displayName="Table12" ref="A45:L153" totalsRowCount="1" headerRowDxfId="54" dataDxfId="53" totalsRowDxfId="52">
  <autoFilter ref="A45:L152"/>
  <tableColumns count="12">
    <tableColumn id="1" name="ASM" dataDxfId="51" totalsRowDxfId="50"/>
    <tableColumn id="2" name="Particulars" totalsRowLabel="Total" dataDxfId="49" totalsRowDxfId="48"/>
    <tableColumn id="3" name="Pending Bills" totalsRowFunction="sum" dataDxfId="47" totalsRowDxfId="46" dataCellStyle="Comma"/>
    <tableColumn id="4" name="(&lt; 15 days )" totalsRowFunction="sum" dataDxfId="45" totalsRowDxfId="44" dataCellStyle="Comma"/>
    <tableColumn id="5" name="15 to 30 days" totalsRowFunction="sum" dataDxfId="43" totalsRowDxfId="42" dataCellStyle="Comma"/>
    <tableColumn id="6" name="30 to 45 days" totalsRowFunction="sum" dataDxfId="41" totalsRowDxfId="40" dataCellStyle="Comma"/>
    <tableColumn id="7" name="45 to 60 days" totalsRowFunction="sum" dataDxfId="39" totalsRowDxfId="38" dataCellStyle="Comma"/>
    <tableColumn id="8" name="60 to 90 days" totalsRowFunction="sum" dataDxfId="37" totalsRowDxfId="36" dataCellStyle="Comma"/>
    <tableColumn id="9" name="90 to 180 days" totalsRowFunction="sum" dataDxfId="35" totalsRowDxfId="34" dataCellStyle="Comma"/>
    <tableColumn id="10" name="180 to 365 days" totalsRowFunction="sum" dataDxfId="33" totalsRowDxfId="32" dataCellStyle="Comma"/>
    <tableColumn id="11" name="365 to 730 days" totalsRowFunction="sum" dataDxfId="31" totalsRowDxfId="30" dataCellStyle="Comma"/>
    <tableColumn id="12" name="(&gt; 730 days )" totalsRowFunction="sum" dataDxfId="29" totalsRowDxfId="28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3" name="Table13" displayName="Table13" ref="A155:L157" totalsRowCount="1" headerRowDxfId="27" dataDxfId="26" totalsRowDxfId="25" totalsRowBorderDxfId="24">
  <autoFilter ref="A155:L156"/>
  <tableColumns count="12">
    <tableColumn id="1" name="ASM" dataDxfId="23" totalsRowDxfId="22"/>
    <tableColumn id="2" name="Particulars" totalsRowLabel="Total" dataDxfId="21" totalsRowDxfId="20"/>
    <tableColumn id="3" name="Pending Bills" totalsRowFunction="sum" dataDxfId="19" totalsRowDxfId="18" dataCellStyle="Comma"/>
    <tableColumn id="4" name="(&lt; 15 days )" totalsRowFunction="sum" dataDxfId="17" totalsRowDxfId="16" dataCellStyle="Comma"/>
    <tableColumn id="5" name="15 to 30 days" totalsRowFunction="sum" dataDxfId="15" totalsRowDxfId="14" dataCellStyle="Comma"/>
    <tableColumn id="6" name="30 to 45 days" totalsRowFunction="sum" dataDxfId="13" totalsRowDxfId="12" dataCellStyle="Comma"/>
    <tableColumn id="7" name="45 to 60 days" totalsRowFunction="sum" dataDxfId="11" totalsRowDxfId="10" dataCellStyle="Comma"/>
    <tableColumn id="8" name="60 to 90 days" totalsRowFunction="sum" dataDxfId="9" totalsRowDxfId="8" dataCellStyle="Comma"/>
    <tableColumn id="9" name="90 to 180 days" totalsRowFunction="sum" dataDxfId="7" totalsRowDxfId="6" dataCellStyle="Comma"/>
    <tableColumn id="10" name="180 to 365 days" totalsRowFunction="sum" dataDxfId="5" totalsRowDxfId="4" dataCellStyle="Comma"/>
    <tableColumn id="11" name="365 to 730 days" totalsRowFunction="sum" dataDxfId="3" totalsRowDxfId="2" dataCellStyle="Comma"/>
    <tableColumn id="12" name="(&gt; 730 days )" totalsRowFunction="sum" dataDxfId="1" totalsRow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1"/>
  <sheetViews>
    <sheetView topLeftCell="A196" workbookViewId="0">
      <selection activeCell="I209" sqref="I209"/>
    </sheetView>
  </sheetViews>
  <sheetFormatPr defaultRowHeight="15" x14ac:dyDescent="0.25"/>
  <cols>
    <col min="1" max="1" width="43.5703125" bestFit="1" customWidth="1"/>
    <col min="2" max="2" width="11.42578125" bestFit="1" customWidth="1"/>
    <col min="4" max="4" width="11.42578125" bestFit="1" customWidth="1"/>
    <col min="5" max="5" width="12.28515625" bestFit="1" customWidth="1"/>
    <col min="7" max="7" width="15.7109375" customWidth="1"/>
    <col min="8" max="8" width="47.42578125" bestFit="1" customWidth="1"/>
    <col min="9" max="9" width="11.42578125" bestFit="1" customWidth="1"/>
    <col min="10" max="16" width="11" bestFit="1" customWidth="1"/>
    <col min="17" max="17" width="10.42578125" bestFit="1" customWidth="1"/>
    <col min="18" max="18" width="12" bestFit="1" customWidth="1"/>
    <col min="19" max="19" width="11.5703125" bestFit="1" customWidth="1"/>
  </cols>
  <sheetData>
    <row r="1" spans="1:18" x14ac:dyDescent="0.25">
      <c r="A1" s="3" t="s">
        <v>123</v>
      </c>
      <c r="B1" s="4" t="s">
        <v>10</v>
      </c>
      <c r="G1" s="3" t="s">
        <v>122</v>
      </c>
      <c r="H1" s="3" t="s">
        <v>123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</row>
    <row r="2" spans="1:18" x14ac:dyDescent="0.25">
      <c r="A2" s="15" t="s">
        <v>42</v>
      </c>
      <c r="B2" s="10">
        <v>30300</v>
      </c>
      <c r="D2">
        <f t="shared" ref="D2:D33" si="0">VLOOKUP(A2,$H$2:$I$105,2,0)</f>
        <v>30300</v>
      </c>
      <c r="E2" s="17">
        <f>+B2-D2</f>
        <v>0</v>
      </c>
      <c r="G2" s="5" t="s">
        <v>11</v>
      </c>
      <c r="H2" s="6" t="s">
        <v>12</v>
      </c>
      <c r="I2" s="7">
        <f t="shared" ref="I2:I56" si="1">SUM(J2:R2)</f>
        <v>13625</v>
      </c>
      <c r="J2" s="8"/>
      <c r="K2" s="9"/>
      <c r="L2" s="8"/>
      <c r="M2" s="9"/>
      <c r="N2" s="10">
        <v>13625</v>
      </c>
      <c r="O2" s="9"/>
      <c r="P2" s="8"/>
      <c r="Q2" s="9"/>
      <c r="R2" s="8"/>
    </row>
    <row r="3" spans="1:18" x14ac:dyDescent="0.25">
      <c r="A3" s="15" t="s">
        <v>43</v>
      </c>
      <c r="B3" s="10">
        <v>6570</v>
      </c>
      <c r="D3">
        <f t="shared" si="0"/>
        <v>6570</v>
      </c>
      <c r="E3" s="17">
        <f t="shared" ref="E3:E66" si="2">+B3-D3</f>
        <v>0</v>
      </c>
      <c r="G3" s="5" t="s">
        <v>11</v>
      </c>
      <c r="H3" s="6" t="s">
        <v>13</v>
      </c>
      <c r="I3" s="7">
        <f t="shared" si="1"/>
        <v>4307350</v>
      </c>
      <c r="J3" s="10">
        <v>912190</v>
      </c>
      <c r="K3" s="7">
        <v>1141200</v>
      </c>
      <c r="L3" s="10">
        <v>900410</v>
      </c>
      <c r="M3" s="7">
        <v>686000</v>
      </c>
      <c r="N3" s="10">
        <v>667550</v>
      </c>
      <c r="O3" s="9"/>
      <c r="P3" s="8"/>
      <c r="Q3" s="9"/>
      <c r="R3" s="8"/>
    </row>
    <row r="4" spans="1:18" x14ac:dyDescent="0.25">
      <c r="A4" s="15" t="s">
        <v>44</v>
      </c>
      <c r="B4" s="10">
        <v>104690</v>
      </c>
      <c r="D4">
        <f t="shared" si="0"/>
        <v>104690</v>
      </c>
      <c r="E4" s="17">
        <f t="shared" si="2"/>
        <v>0</v>
      </c>
      <c r="G4" s="5" t="s">
        <v>11</v>
      </c>
      <c r="H4" s="6" t="s">
        <v>14</v>
      </c>
      <c r="I4" s="7">
        <f t="shared" si="1"/>
        <v>8815</v>
      </c>
      <c r="J4" s="8"/>
      <c r="K4" s="9"/>
      <c r="L4" s="8"/>
      <c r="M4" s="9"/>
      <c r="N4" s="10">
        <v>3320</v>
      </c>
      <c r="O4" s="7">
        <v>5495</v>
      </c>
      <c r="P4" s="8"/>
      <c r="Q4" s="9"/>
      <c r="R4" s="8"/>
    </row>
    <row r="5" spans="1:18" x14ac:dyDescent="0.25">
      <c r="A5" s="15" t="s">
        <v>45</v>
      </c>
      <c r="B5" s="10">
        <v>54000</v>
      </c>
      <c r="D5">
        <f t="shared" si="0"/>
        <v>54000</v>
      </c>
      <c r="E5" s="17">
        <f t="shared" si="2"/>
        <v>0</v>
      </c>
      <c r="G5" s="5" t="s">
        <v>11</v>
      </c>
      <c r="H5" s="6" t="s">
        <v>15</v>
      </c>
      <c r="I5" s="7">
        <f t="shared" si="1"/>
        <v>86330</v>
      </c>
      <c r="J5" s="10">
        <v>27230</v>
      </c>
      <c r="K5" s="7">
        <v>59100</v>
      </c>
      <c r="L5" s="8"/>
      <c r="M5" s="9"/>
      <c r="N5" s="8"/>
      <c r="O5" s="9"/>
      <c r="P5" s="8"/>
      <c r="Q5" s="9"/>
      <c r="R5" s="8"/>
    </row>
    <row r="6" spans="1:18" x14ac:dyDescent="0.25">
      <c r="A6" s="15" t="s">
        <v>46</v>
      </c>
      <c r="B6" s="10">
        <v>599850</v>
      </c>
      <c r="D6">
        <f t="shared" si="0"/>
        <v>599850</v>
      </c>
      <c r="E6" s="17">
        <f t="shared" si="2"/>
        <v>0</v>
      </c>
      <c r="G6" s="5" t="s">
        <v>11</v>
      </c>
      <c r="H6" s="6" t="s">
        <v>16</v>
      </c>
      <c r="I6" s="7">
        <f t="shared" si="1"/>
        <v>367278</v>
      </c>
      <c r="J6" s="10">
        <f>375200-192112</f>
        <v>183088</v>
      </c>
      <c r="K6" s="7">
        <v>95800</v>
      </c>
      <c r="L6" s="8"/>
      <c r="M6" s="7">
        <v>88390</v>
      </c>
      <c r="N6" s="8"/>
      <c r="O6" s="9"/>
      <c r="P6" s="8"/>
      <c r="Q6" s="9"/>
      <c r="R6" s="8"/>
    </row>
    <row r="7" spans="1:18" x14ac:dyDescent="0.25">
      <c r="A7" s="15" t="s">
        <v>47</v>
      </c>
      <c r="B7" s="10">
        <v>8911</v>
      </c>
      <c r="D7">
        <f t="shared" si="0"/>
        <v>8911</v>
      </c>
      <c r="E7" s="17">
        <f t="shared" si="2"/>
        <v>0</v>
      </c>
      <c r="G7" s="5" t="s">
        <v>11</v>
      </c>
      <c r="H7" s="6" t="s">
        <v>17</v>
      </c>
      <c r="I7" s="7">
        <f t="shared" si="1"/>
        <v>2754944.52</v>
      </c>
      <c r="J7" s="8"/>
      <c r="K7" s="7">
        <v>225100</v>
      </c>
      <c r="L7" s="8"/>
      <c r="M7" s="7">
        <v>186650</v>
      </c>
      <c r="N7" s="10">
        <v>174300</v>
      </c>
      <c r="O7" s="7">
        <v>1702445</v>
      </c>
      <c r="P7" s="10">
        <f>680294.52-213845</f>
        <v>466449.52</v>
      </c>
      <c r="Q7" s="9"/>
      <c r="R7" s="8"/>
    </row>
    <row r="8" spans="1:18" x14ac:dyDescent="0.25">
      <c r="A8" s="15" t="s">
        <v>48</v>
      </c>
      <c r="B8" s="10">
        <v>933158</v>
      </c>
      <c r="D8">
        <f t="shared" si="0"/>
        <v>933158</v>
      </c>
      <c r="E8" s="17">
        <f t="shared" si="2"/>
        <v>0</v>
      </c>
      <c r="G8" s="5" t="s">
        <v>11</v>
      </c>
      <c r="H8" s="6" t="s">
        <v>18</v>
      </c>
      <c r="I8" s="7">
        <f t="shared" si="1"/>
        <v>1025</v>
      </c>
      <c r="J8" s="8"/>
      <c r="K8" s="9"/>
      <c r="L8" s="8"/>
      <c r="M8" s="9"/>
      <c r="N8" s="8"/>
      <c r="O8" s="7">
        <v>1025</v>
      </c>
      <c r="P8" s="8"/>
      <c r="Q8" s="9"/>
      <c r="R8" s="8"/>
    </row>
    <row r="9" spans="1:18" x14ac:dyDescent="0.25">
      <c r="A9" s="15" t="s">
        <v>49</v>
      </c>
      <c r="B9" s="10">
        <v>306533</v>
      </c>
      <c r="D9">
        <f t="shared" si="0"/>
        <v>306533</v>
      </c>
      <c r="E9" s="17">
        <f t="shared" si="2"/>
        <v>0</v>
      </c>
      <c r="G9" s="5" t="s">
        <v>11</v>
      </c>
      <c r="H9" s="6" t="s">
        <v>19</v>
      </c>
      <c r="I9" s="7">
        <f t="shared" si="1"/>
        <v>55445</v>
      </c>
      <c r="J9" s="10">
        <v>55445</v>
      </c>
      <c r="K9" s="9"/>
      <c r="L9" s="8"/>
      <c r="M9" s="9"/>
      <c r="N9" s="8"/>
      <c r="O9" s="9"/>
      <c r="P9" s="8"/>
      <c r="Q9" s="9"/>
      <c r="R9" s="8"/>
    </row>
    <row r="10" spans="1:18" x14ac:dyDescent="0.25">
      <c r="A10" s="15" t="s">
        <v>50</v>
      </c>
      <c r="B10" s="10">
        <v>183720</v>
      </c>
      <c r="D10">
        <f t="shared" si="0"/>
        <v>183720</v>
      </c>
      <c r="E10" s="17">
        <f t="shared" si="2"/>
        <v>0</v>
      </c>
      <c r="G10" s="5" t="s">
        <v>11</v>
      </c>
      <c r="H10" s="6" t="s">
        <v>20</v>
      </c>
      <c r="I10" s="7">
        <f t="shared" si="1"/>
        <v>3950</v>
      </c>
      <c r="J10" s="8"/>
      <c r="K10" s="9"/>
      <c r="L10" s="8"/>
      <c r="M10" s="7">
        <v>3950</v>
      </c>
      <c r="N10" s="8"/>
      <c r="O10" s="9"/>
      <c r="P10" s="8"/>
      <c r="Q10" s="9"/>
      <c r="R10" s="8"/>
    </row>
    <row r="11" spans="1:18" x14ac:dyDescent="0.25">
      <c r="A11" s="15" t="s">
        <v>12</v>
      </c>
      <c r="B11" s="10">
        <v>13625</v>
      </c>
      <c r="D11">
        <f t="shared" si="0"/>
        <v>13625</v>
      </c>
      <c r="E11" s="17">
        <f t="shared" si="2"/>
        <v>0</v>
      </c>
      <c r="G11" s="5" t="s">
        <v>11</v>
      </c>
      <c r="H11" s="6" t="s">
        <v>21</v>
      </c>
      <c r="I11" s="7">
        <f t="shared" si="1"/>
        <v>31300</v>
      </c>
      <c r="J11" s="8"/>
      <c r="K11" s="9"/>
      <c r="L11" s="10">
        <v>31300</v>
      </c>
      <c r="M11" s="9"/>
      <c r="N11" s="8"/>
      <c r="O11" s="9"/>
      <c r="P11" s="8"/>
      <c r="Q11" s="9"/>
      <c r="R11" s="8"/>
    </row>
    <row r="12" spans="1:18" x14ac:dyDescent="0.25">
      <c r="A12" s="15" t="s">
        <v>51</v>
      </c>
      <c r="B12" s="10">
        <v>52000</v>
      </c>
      <c r="D12">
        <f t="shared" si="0"/>
        <v>52000</v>
      </c>
      <c r="E12" s="17">
        <f t="shared" si="2"/>
        <v>0</v>
      </c>
      <c r="G12" s="5" t="s">
        <v>11</v>
      </c>
      <c r="H12" s="6" t="s">
        <v>22</v>
      </c>
      <c r="I12" s="7">
        <f t="shared" si="1"/>
        <v>1280</v>
      </c>
      <c r="J12" s="8"/>
      <c r="K12" s="9"/>
      <c r="L12" s="8"/>
      <c r="M12" s="9"/>
      <c r="N12" s="8"/>
      <c r="O12" s="7">
        <v>1280</v>
      </c>
      <c r="P12" s="8"/>
      <c r="Q12" s="9"/>
      <c r="R12" s="8"/>
    </row>
    <row r="13" spans="1:18" x14ac:dyDescent="0.25">
      <c r="A13" s="15" t="s">
        <v>52</v>
      </c>
      <c r="B13" s="10">
        <v>511820</v>
      </c>
      <c r="D13">
        <f t="shared" si="0"/>
        <v>511820</v>
      </c>
      <c r="E13" s="17">
        <f t="shared" si="2"/>
        <v>0</v>
      </c>
      <c r="G13" s="5" t="s">
        <v>11</v>
      </c>
      <c r="H13" s="6" t="s">
        <v>23</v>
      </c>
      <c r="I13" s="7">
        <f t="shared" si="1"/>
        <v>180</v>
      </c>
      <c r="J13" s="8"/>
      <c r="K13" s="7">
        <v>180</v>
      </c>
      <c r="L13" s="8"/>
      <c r="M13" s="9"/>
      <c r="N13" s="8"/>
      <c r="O13" s="9"/>
      <c r="P13" s="8"/>
      <c r="Q13" s="9"/>
      <c r="R13" s="8"/>
    </row>
    <row r="14" spans="1:18" x14ac:dyDescent="0.25">
      <c r="A14" s="15" t="s">
        <v>53</v>
      </c>
      <c r="B14" s="10">
        <v>461812</v>
      </c>
      <c r="D14">
        <f t="shared" si="0"/>
        <v>461812</v>
      </c>
      <c r="E14" s="17">
        <f t="shared" si="2"/>
        <v>0</v>
      </c>
      <c r="G14" s="5" t="s">
        <v>11</v>
      </c>
      <c r="H14" s="6" t="s">
        <v>24</v>
      </c>
      <c r="I14" s="7">
        <f t="shared" si="1"/>
        <v>47355</v>
      </c>
      <c r="J14" s="8"/>
      <c r="K14" s="9"/>
      <c r="L14" s="8"/>
      <c r="M14" s="9"/>
      <c r="N14" s="8"/>
      <c r="O14" s="7">
        <v>47355</v>
      </c>
      <c r="P14" s="8"/>
      <c r="Q14" s="9"/>
      <c r="R14" s="8"/>
    </row>
    <row r="15" spans="1:18" x14ac:dyDescent="0.25">
      <c r="A15" s="15" t="s">
        <v>13</v>
      </c>
      <c r="B15" s="10">
        <v>4307350</v>
      </c>
      <c r="D15">
        <f t="shared" si="0"/>
        <v>4307350</v>
      </c>
      <c r="E15" s="17">
        <f t="shared" si="2"/>
        <v>0</v>
      </c>
      <c r="G15" s="5" t="s">
        <v>11</v>
      </c>
      <c r="H15" s="6" t="s">
        <v>25</v>
      </c>
      <c r="I15" s="7">
        <f t="shared" si="1"/>
        <v>8185</v>
      </c>
      <c r="J15" s="8"/>
      <c r="K15" s="9"/>
      <c r="L15" s="8"/>
      <c r="M15" s="7">
        <v>8185</v>
      </c>
      <c r="N15" s="8"/>
      <c r="O15" s="9"/>
      <c r="P15" s="8"/>
      <c r="Q15" s="9"/>
      <c r="R15" s="8"/>
    </row>
    <row r="16" spans="1:18" x14ac:dyDescent="0.25">
      <c r="A16" s="15" t="s">
        <v>54</v>
      </c>
      <c r="B16" s="10">
        <v>900848</v>
      </c>
      <c r="D16">
        <f t="shared" si="0"/>
        <v>900848</v>
      </c>
      <c r="E16" s="17">
        <f t="shared" si="2"/>
        <v>0</v>
      </c>
      <c r="G16" s="5" t="s">
        <v>11</v>
      </c>
      <c r="H16" s="6" t="s">
        <v>26</v>
      </c>
      <c r="I16" s="7">
        <f t="shared" si="1"/>
        <v>56995</v>
      </c>
      <c r="J16" s="8"/>
      <c r="K16" s="9"/>
      <c r="L16" s="8"/>
      <c r="M16" s="7">
        <v>4270</v>
      </c>
      <c r="N16" s="10">
        <v>12315</v>
      </c>
      <c r="O16" s="7">
        <v>40410</v>
      </c>
      <c r="P16" s="8"/>
      <c r="Q16" s="9"/>
      <c r="R16" s="8"/>
    </row>
    <row r="17" spans="1:18" x14ac:dyDescent="0.25">
      <c r="A17" s="15" t="s">
        <v>55</v>
      </c>
      <c r="B17" s="10">
        <v>1341583</v>
      </c>
      <c r="D17">
        <f t="shared" si="0"/>
        <v>1341583</v>
      </c>
      <c r="E17" s="17">
        <f t="shared" si="2"/>
        <v>0</v>
      </c>
      <c r="G17" s="5" t="s">
        <v>11</v>
      </c>
      <c r="H17" s="6" t="s">
        <v>27</v>
      </c>
      <c r="I17" s="7">
        <f t="shared" si="1"/>
        <v>4590</v>
      </c>
      <c r="J17" s="8"/>
      <c r="K17" s="9"/>
      <c r="L17" s="10">
        <v>4590</v>
      </c>
      <c r="M17" s="9"/>
      <c r="N17" s="8"/>
      <c r="O17" s="9"/>
      <c r="P17" s="8"/>
      <c r="Q17" s="9"/>
      <c r="R17" s="8"/>
    </row>
    <row r="18" spans="1:18" x14ac:dyDescent="0.25">
      <c r="A18" s="15" t="s">
        <v>56</v>
      </c>
      <c r="B18" s="10">
        <v>13280</v>
      </c>
      <c r="D18">
        <f t="shared" si="0"/>
        <v>13280</v>
      </c>
      <c r="E18" s="17">
        <f t="shared" si="2"/>
        <v>0</v>
      </c>
      <c r="G18" s="5" t="s">
        <v>11</v>
      </c>
      <c r="H18" s="6" t="s">
        <v>28</v>
      </c>
      <c r="I18" s="7">
        <f t="shared" si="1"/>
        <v>62003</v>
      </c>
      <c r="J18" s="8"/>
      <c r="K18" s="9"/>
      <c r="L18" s="8"/>
      <c r="M18" s="9"/>
      <c r="N18" s="10">
        <v>62003</v>
      </c>
      <c r="O18" s="9"/>
      <c r="P18" s="8"/>
      <c r="Q18" s="9"/>
      <c r="R18" s="8"/>
    </row>
    <row r="19" spans="1:18" x14ac:dyDescent="0.25">
      <c r="A19" s="15" t="s">
        <v>57</v>
      </c>
      <c r="B19" s="10">
        <v>753532</v>
      </c>
      <c r="D19">
        <f t="shared" si="0"/>
        <v>753532</v>
      </c>
      <c r="E19" s="17">
        <f t="shared" si="2"/>
        <v>0</v>
      </c>
      <c r="G19" s="5" t="s">
        <v>11</v>
      </c>
      <c r="H19" s="6" t="s">
        <v>29</v>
      </c>
      <c r="I19" s="7">
        <f t="shared" si="1"/>
        <v>22780</v>
      </c>
      <c r="J19" s="8"/>
      <c r="K19" s="9"/>
      <c r="L19" s="8"/>
      <c r="M19" s="9"/>
      <c r="N19" s="8"/>
      <c r="O19" s="9"/>
      <c r="P19" s="8"/>
      <c r="Q19" s="9"/>
      <c r="R19" s="10">
        <v>22780</v>
      </c>
    </row>
    <row r="20" spans="1:18" x14ac:dyDescent="0.25">
      <c r="A20" s="15" t="s">
        <v>14</v>
      </c>
      <c r="B20" s="10">
        <v>8815</v>
      </c>
      <c r="D20">
        <f t="shared" si="0"/>
        <v>8815</v>
      </c>
      <c r="E20" s="17">
        <f t="shared" si="2"/>
        <v>0</v>
      </c>
      <c r="G20" s="5" t="s">
        <v>11</v>
      </c>
      <c r="H20" s="6" t="s">
        <v>30</v>
      </c>
      <c r="I20" s="7">
        <f t="shared" si="1"/>
        <v>113005</v>
      </c>
      <c r="J20" s="8"/>
      <c r="K20" s="9"/>
      <c r="L20" s="8"/>
      <c r="M20" s="9"/>
      <c r="N20" s="10">
        <v>112200</v>
      </c>
      <c r="O20" s="7">
        <v>805</v>
      </c>
      <c r="P20" s="8"/>
      <c r="Q20" s="9"/>
      <c r="R20" s="8"/>
    </row>
    <row r="21" spans="1:18" x14ac:dyDescent="0.25">
      <c r="A21" s="15" t="s">
        <v>58</v>
      </c>
      <c r="B21" s="10">
        <v>131750</v>
      </c>
      <c r="D21">
        <f t="shared" si="0"/>
        <v>131750</v>
      </c>
      <c r="E21" s="17">
        <f t="shared" si="2"/>
        <v>0</v>
      </c>
      <c r="G21" s="5" t="s">
        <v>11</v>
      </c>
      <c r="H21" s="6" t="s">
        <v>31</v>
      </c>
      <c r="I21" s="7">
        <f t="shared" si="1"/>
        <v>795</v>
      </c>
      <c r="J21" s="8"/>
      <c r="K21" s="9"/>
      <c r="L21" s="8"/>
      <c r="M21" s="9"/>
      <c r="N21" s="10">
        <v>795</v>
      </c>
      <c r="O21" s="9"/>
      <c r="P21" s="8"/>
      <c r="Q21" s="9"/>
      <c r="R21" s="8"/>
    </row>
    <row r="22" spans="1:18" x14ac:dyDescent="0.25">
      <c r="A22" s="15" t="s">
        <v>59</v>
      </c>
      <c r="B22" s="10">
        <v>3222982</v>
      </c>
      <c r="D22">
        <f t="shared" si="0"/>
        <v>3222982</v>
      </c>
      <c r="E22" s="17">
        <f t="shared" si="2"/>
        <v>0</v>
      </c>
      <c r="G22" s="5" t="s">
        <v>11</v>
      </c>
      <c r="H22" s="6" t="s">
        <v>32</v>
      </c>
      <c r="I22" s="7">
        <f t="shared" si="1"/>
        <v>589294</v>
      </c>
      <c r="J22" s="8"/>
      <c r="K22" s="9"/>
      <c r="L22" s="10">
        <v>415500</v>
      </c>
      <c r="M22" s="9"/>
      <c r="N22" s="10">
        <v>173794</v>
      </c>
      <c r="O22" s="9"/>
      <c r="P22" s="8"/>
      <c r="Q22" s="9"/>
      <c r="R22" s="8"/>
    </row>
    <row r="23" spans="1:18" x14ac:dyDescent="0.25">
      <c r="A23" s="15" t="s">
        <v>60</v>
      </c>
      <c r="B23" s="10">
        <v>296940</v>
      </c>
      <c r="D23">
        <f t="shared" si="0"/>
        <v>296940</v>
      </c>
      <c r="E23" s="17">
        <f t="shared" si="2"/>
        <v>0</v>
      </c>
      <c r="G23" s="5" t="s">
        <v>11</v>
      </c>
      <c r="H23" s="6" t="s">
        <v>33</v>
      </c>
      <c r="I23" s="7">
        <f t="shared" si="1"/>
        <v>10700</v>
      </c>
      <c r="J23" s="8"/>
      <c r="K23" s="7">
        <v>10700</v>
      </c>
      <c r="L23" s="8"/>
      <c r="M23" s="9"/>
      <c r="N23" s="8"/>
      <c r="O23" s="9"/>
      <c r="P23" s="8"/>
      <c r="Q23" s="9"/>
      <c r="R23" s="8"/>
    </row>
    <row r="24" spans="1:18" x14ac:dyDescent="0.25">
      <c r="A24" s="15" t="s">
        <v>61</v>
      </c>
      <c r="B24" s="10">
        <v>1639250</v>
      </c>
      <c r="D24">
        <f t="shared" si="0"/>
        <v>1639250</v>
      </c>
      <c r="E24" s="17">
        <f t="shared" si="2"/>
        <v>0</v>
      </c>
      <c r="G24" s="5" t="s">
        <v>11</v>
      </c>
      <c r="H24" s="6" t="s">
        <v>34</v>
      </c>
      <c r="I24" s="7">
        <f t="shared" si="1"/>
        <v>2060</v>
      </c>
      <c r="J24" s="8"/>
      <c r="K24" s="9"/>
      <c r="L24" s="8"/>
      <c r="M24" s="7">
        <v>20</v>
      </c>
      <c r="N24" s="8"/>
      <c r="O24" s="7">
        <v>2040</v>
      </c>
      <c r="P24" s="8"/>
      <c r="Q24" s="9"/>
      <c r="R24" s="8"/>
    </row>
    <row r="25" spans="1:18" x14ac:dyDescent="0.25">
      <c r="A25" s="15" t="s">
        <v>15</v>
      </c>
      <c r="B25" s="10">
        <v>86330</v>
      </c>
      <c r="D25">
        <f t="shared" si="0"/>
        <v>86330</v>
      </c>
      <c r="E25" s="17">
        <f t="shared" si="2"/>
        <v>0</v>
      </c>
      <c r="G25" s="5" t="s">
        <v>11</v>
      </c>
      <c r="H25" s="6" t="s">
        <v>35</v>
      </c>
      <c r="I25" s="7">
        <f t="shared" si="1"/>
        <v>7705</v>
      </c>
      <c r="J25" s="8"/>
      <c r="K25" s="9"/>
      <c r="L25" s="10">
        <v>7705</v>
      </c>
      <c r="M25" s="9"/>
      <c r="N25" s="8"/>
      <c r="O25" s="9"/>
      <c r="P25" s="8"/>
      <c r="Q25" s="9"/>
      <c r="R25" s="8"/>
    </row>
    <row r="26" spans="1:18" x14ac:dyDescent="0.25">
      <c r="A26" s="15" t="s">
        <v>62</v>
      </c>
      <c r="B26" s="10">
        <v>53935</v>
      </c>
      <c r="D26">
        <f t="shared" si="0"/>
        <v>53935</v>
      </c>
      <c r="E26" s="17">
        <f t="shared" si="2"/>
        <v>0</v>
      </c>
      <c r="G26" s="5" t="s">
        <v>11</v>
      </c>
      <c r="H26" s="6" t="s">
        <v>36</v>
      </c>
      <c r="I26" s="7">
        <f t="shared" si="1"/>
        <v>2025</v>
      </c>
      <c r="J26" s="8"/>
      <c r="K26" s="9"/>
      <c r="L26" s="10">
        <v>2025</v>
      </c>
      <c r="M26" s="9"/>
      <c r="N26" s="8"/>
      <c r="O26" s="9"/>
      <c r="P26" s="8"/>
      <c r="Q26" s="9"/>
      <c r="R26" s="8"/>
    </row>
    <row r="27" spans="1:18" x14ac:dyDescent="0.25">
      <c r="A27" s="15" t="s">
        <v>63</v>
      </c>
      <c r="B27" s="10">
        <v>950</v>
      </c>
      <c r="D27">
        <f t="shared" si="0"/>
        <v>950</v>
      </c>
      <c r="E27" s="17">
        <f t="shared" si="2"/>
        <v>0</v>
      </c>
      <c r="G27" s="5" t="s">
        <v>11</v>
      </c>
      <c r="H27" s="6" t="s">
        <v>37</v>
      </c>
      <c r="I27" s="7">
        <f t="shared" si="1"/>
        <v>13775</v>
      </c>
      <c r="J27" s="8"/>
      <c r="K27" s="9"/>
      <c r="L27" s="8"/>
      <c r="M27" s="9"/>
      <c r="N27" s="8"/>
      <c r="O27" s="9"/>
      <c r="P27" s="8"/>
      <c r="Q27" s="7">
        <v>2600</v>
      </c>
      <c r="R27" s="10">
        <v>11175</v>
      </c>
    </row>
    <row r="28" spans="1:18" x14ac:dyDescent="0.25">
      <c r="A28" s="15" t="s">
        <v>64</v>
      </c>
      <c r="B28" s="10">
        <v>4350</v>
      </c>
      <c r="D28">
        <f t="shared" si="0"/>
        <v>4350</v>
      </c>
      <c r="E28" s="17">
        <f t="shared" si="2"/>
        <v>0</v>
      </c>
      <c r="G28" s="5" t="s">
        <v>11</v>
      </c>
      <c r="H28" s="6" t="s">
        <v>38</v>
      </c>
      <c r="I28" s="7">
        <f t="shared" si="1"/>
        <v>5928</v>
      </c>
      <c r="J28" s="8"/>
      <c r="K28" s="9"/>
      <c r="L28" s="8"/>
      <c r="M28" s="9"/>
      <c r="N28" s="8"/>
      <c r="O28" s="7">
        <v>5928</v>
      </c>
      <c r="P28" s="8"/>
      <c r="Q28" s="9"/>
      <c r="R28" s="8"/>
    </row>
    <row r="29" spans="1:18" x14ac:dyDescent="0.25">
      <c r="A29" s="15" t="s">
        <v>16</v>
      </c>
      <c r="B29" s="10">
        <v>367278</v>
      </c>
      <c r="D29">
        <f t="shared" si="0"/>
        <v>367278</v>
      </c>
      <c r="E29" s="17">
        <f t="shared" si="2"/>
        <v>0</v>
      </c>
      <c r="G29" s="5" t="s">
        <v>11</v>
      </c>
      <c r="H29" s="6" t="s">
        <v>39</v>
      </c>
      <c r="I29" s="7">
        <f t="shared" si="1"/>
        <v>2345</v>
      </c>
      <c r="J29" s="10">
        <v>2345</v>
      </c>
      <c r="K29" s="9"/>
      <c r="L29" s="8"/>
      <c r="M29" s="9"/>
      <c r="N29" s="8"/>
      <c r="O29" s="9"/>
      <c r="P29" s="8"/>
      <c r="Q29" s="9"/>
      <c r="R29" s="8"/>
    </row>
    <row r="30" spans="1:18" x14ac:dyDescent="0.25">
      <c r="A30" s="15" t="s">
        <v>119</v>
      </c>
      <c r="B30" s="10">
        <v>6650</v>
      </c>
      <c r="D30">
        <f t="shared" si="0"/>
        <v>6650</v>
      </c>
      <c r="E30" s="17">
        <f t="shared" si="2"/>
        <v>0</v>
      </c>
      <c r="G30" s="5" t="s">
        <v>11</v>
      </c>
      <c r="H30" s="6" t="s">
        <v>40</v>
      </c>
      <c r="I30" s="7">
        <f t="shared" si="1"/>
        <v>605</v>
      </c>
      <c r="J30" s="8"/>
      <c r="K30" s="9"/>
      <c r="L30" s="8"/>
      <c r="M30" s="9"/>
      <c r="N30" s="10">
        <v>605</v>
      </c>
      <c r="O30" s="9"/>
      <c r="P30" s="8"/>
      <c r="Q30" s="9"/>
      <c r="R30" s="8"/>
    </row>
    <row r="31" spans="1:18" x14ac:dyDescent="0.25">
      <c r="A31" s="15" t="s">
        <v>65</v>
      </c>
      <c r="B31" s="10">
        <v>2000</v>
      </c>
      <c r="D31">
        <f t="shared" si="0"/>
        <v>2000</v>
      </c>
      <c r="E31" s="17">
        <f t="shared" si="2"/>
        <v>0</v>
      </c>
      <c r="G31" s="5" t="s">
        <v>41</v>
      </c>
      <c r="H31" s="11" t="s">
        <v>42</v>
      </c>
      <c r="I31" s="7">
        <f t="shared" si="1"/>
        <v>30300</v>
      </c>
      <c r="J31" s="8"/>
      <c r="K31" s="9"/>
      <c r="L31" s="8"/>
      <c r="M31" s="9"/>
      <c r="N31" s="8"/>
      <c r="O31" s="9"/>
      <c r="P31" s="8"/>
      <c r="Q31" s="7">
        <v>30300</v>
      </c>
      <c r="R31" s="8"/>
    </row>
    <row r="32" spans="1:18" x14ac:dyDescent="0.25">
      <c r="A32" s="15" t="s">
        <v>17</v>
      </c>
      <c r="B32" s="10">
        <v>2754944.52</v>
      </c>
      <c r="D32">
        <f t="shared" si="0"/>
        <v>2754944.52</v>
      </c>
      <c r="E32" s="17">
        <f t="shared" si="2"/>
        <v>0</v>
      </c>
      <c r="G32" s="5" t="s">
        <v>41</v>
      </c>
      <c r="H32" s="11" t="s">
        <v>43</v>
      </c>
      <c r="I32" s="7">
        <f t="shared" si="1"/>
        <v>6570</v>
      </c>
      <c r="J32" s="8"/>
      <c r="K32" s="9"/>
      <c r="L32" s="8"/>
      <c r="M32" s="9"/>
      <c r="N32" s="8"/>
      <c r="O32" s="9"/>
      <c r="P32" s="8"/>
      <c r="Q32" s="7">
        <v>6570</v>
      </c>
      <c r="R32" s="8"/>
    </row>
    <row r="33" spans="1:18" x14ac:dyDescent="0.25">
      <c r="A33" s="15" t="s">
        <v>66</v>
      </c>
      <c r="B33" s="10">
        <v>594147.4</v>
      </c>
      <c r="D33">
        <f t="shared" si="0"/>
        <v>594147.4</v>
      </c>
      <c r="E33" s="17">
        <f t="shared" si="2"/>
        <v>0</v>
      </c>
      <c r="G33" s="5" t="s">
        <v>41</v>
      </c>
      <c r="H33" s="11" t="s">
        <v>44</v>
      </c>
      <c r="I33" s="7">
        <f t="shared" si="1"/>
        <v>104690</v>
      </c>
      <c r="J33" s="8"/>
      <c r="K33" s="9"/>
      <c r="L33" s="8"/>
      <c r="M33" s="9"/>
      <c r="N33" s="8"/>
      <c r="O33" s="9"/>
      <c r="P33" s="8"/>
      <c r="Q33" s="7">
        <v>76240</v>
      </c>
      <c r="R33" s="10">
        <v>28450</v>
      </c>
    </row>
    <row r="34" spans="1:18" x14ac:dyDescent="0.25">
      <c r="A34" s="15" t="s">
        <v>67</v>
      </c>
      <c r="B34" s="10">
        <v>864426</v>
      </c>
      <c r="D34">
        <f t="shared" ref="D34:D65" si="3">VLOOKUP(A34,$H$2:$I$105,2,0)</f>
        <v>864426</v>
      </c>
      <c r="E34" s="17">
        <f t="shared" si="2"/>
        <v>0</v>
      </c>
      <c r="G34" s="5" t="s">
        <v>41</v>
      </c>
      <c r="H34" s="11" t="s">
        <v>45</v>
      </c>
      <c r="I34" s="7">
        <f t="shared" si="1"/>
        <v>54000</v>
      </c>
      <c r="J34" s="8"/>
      <c r="K34" s="9"/>
      <c r="L34" s="8"/>
      <c r="M34" s="9"/>
      <c r="N34" s="8"/>
      <c r="O34" s="9"/>
      <c r="P34" s="8"/>
      <c r="Q34" s="9"/>
      <c r="R34" s="10">
        <v>54000</v>
      </c>
    </row>
    <row r="35" spans="1:18" x14ac:dyDescent="0.25">
      <c r="A35" s="15" t="s">
        <v>18</v>
      </c>
      <c r="B35" s="10">
        <v>1025</v>
      </c>
      <c r="D35">
        <f t="shared" si="3"/>
        <v>1025</v>
      </c>
      <c r="E35" s="17">
        <f t="shared" si="2"/>
        <v>0</v>
      </c>
      <c r="G35" s="5" t="s">
        <v>41</v>
      </c>
      <c r="H35" s="11" t="s">
        <v>46</v>
      </c>
      <c r="I35" s="7">
        <f t="shared" si="1"/>
        <v>599850</v>
      </c>
      <c r="J35" s="8"/>
      <c r="K35" s="9"/>
      <c r="L35" s="8"/>
      <c r="M35" s="9"/>
      <c r="N35" s="8"/>
      <c r="O35" s="9"/>
      <c r="P35" s="8"/>
      <c r="Q35" s="9"/>
      <c r="R35" s="10">
        <v>599850</v>
      </c>
    </row>
    <row r="36" spans="1:18" x14ac:dyDescent="0.25">
      <c r="A36" s="15" t="s">
        <v>68</v>
      </c>
      <c r="B36" s="10">
        <v>36700</v>
      </c>
      <c r="D36">
        <f t="shared" si="3"/>
        <v>36700</v>
      </c>
      <c r="E36" s="17">
        <f t="shared" si="2"/>
        <v>0</v>
      </c>
      <c r="G36" s="5" t="s">
        <v>41</v>
      </c>
      <c r="H36" s="11" t="s">
        <v>47</v>
      </c>
      <c r="I36" s="7">
        <f t="shared" si="1"/>
        <v>8911</v>
      </c>
      <c r="J36" s="8"/>
      <c r="K36" s="9"/>
      <c r="L36" s="8"/>
      <c r="M36" s="9"/>
      <c r="N36" s="8"/>
      <c r="O36" s="9"/>
      <c r="P36" s="8"/>
      <c r="Q36" s="9"/>
      <c r="R36" s="10">
        <v>8911</v>
      </c>
    </row>
    <row r="37" spans="1:18" x14ac:dyDescent="0.25">
      <c r="A37" s="15" t="s">
        <v>69</v>
      </c>
      <c r="B37" s="10">
        <v>76200</v>
      </c>
      <c r="D37">
        <f t="shared" si="3"/>
        <v>76200</v>
      </c>
      <c r="E37" s="17">
        <f t="shared" si="2"/>
        <v>0</v>
      </c>
      <c r="G37" s="5" t="s">
        <v>41</v>
      </c>
      <c r="H37" s="11" t="s">
        <v>48</v>
      </c>
      <c r="I37" s="7">
        <f t="shared" si="1"/>
        <v>933158</v>
      </c>
      <c r="J37" s="8"/>
      <c r="K37" s="9"/>
      <c r="L37" s="8"/>
      <c r="M37" s="9"/>
      <c r="N37" s="8"/>
      <c r="O37" s="9"/>
      <c r="P37" s="8"/>
      <c r="Q37" s="9"/>
      <c r="R37" s="10">
        <v>933158</v>
      </c>
    </row>
    <row r="38" spans="1:18" x14ac:dyDescent="0.25">
      <c r="A38" s="15" t="s">
        <v>70</v>
      </c>
      <c r="B38" s="10">
        <v>317430</v>
      </c>
      <c r="D38">
        <f t="shared" si="3"/>
        <v>317430</v>
      </c>
      <c r="E38" s="17">
        <f t="shared" si="2"/>
        <v>0</v>
      </c>
      <c r="G38" s="5" t="s">
        <v>41</v>
      </c>
      <c r="H38" s="11" t="s">
        <v>49</v>
      </c>
      <c r="I38" s="7">
        <f t="shared" si="1"/>
        <v>306533</v>
      </c>
      <c r="J38" s="8"/>
      <c r="K38" s="9"/>
      <c r="L38" s="8"/>
      <c r="M38" s="9"/>
      <c r="N38" s="8"/>
      <c r="O38" s="9"/>
      <c r="P38" s="8"/>
      <c r="Q38" s="9"/>
      <c r="R38" s="10">
        <v>306533</v>
      </c>
    </row>
    <row r="39" spans="1:18" x14ac:dyDescent="0.25">
      <c r="A39" s="15" t="s">
        <v>71</v>
      </c>
      <c r="B39" s="10">
        <v>101265</v>
      </c>
      <c r="D39">
        <f t="shared" si="3"/>
        <v>101265</v>
      </c>
      <c r="E39" s="17">
        <f t="shared" si="2"/>
        <v>0</v>
      </c>
      <c r="G39" s="5" t="s">
        <v>41</v>
      </c>
      <c r="H39" s="11" t="s">
        <v>50</v>
      </c>
      <c r="I39" s="7">
        <f t="shared" si="1"/>
        <v>183720</v>
      </c>
      <c r="J39" s="8"/>
      <c r="K39" s="9"/>
      <c r="L39" s="8"/>
      <c r="M39" s="9"/>
      <c r="N39" s="8"/>
      <c r="O39" s="9"/>
      <c r="P39" s="8"/>
      <c r="Q39" s="9"/>
      <c r="R39" s="10">
        <v>183720</v>
      </c>
    </row>
    <row r="40" spans="1:18" x14ac:dyDescent="0.25">
      <c r="A40" s="15" t="s">
        <v>19</v>
      </c>
      <c r="B40" s="10">
        <v>55445</v>
      </c>
      <c r="D40">
        <f t="shared" si="3"/>
        <v>55445</v>
      </c>
      <c r="E40" s="17">
        <f t="shared" si="2"/>
        <v>0</v>
      </c>
      <c r="G40" s="5" t="s">
        <v>41</v>
      </c>
      <c r="H40" s="11" t="s">
        <v>51</v>
      </c>
      <c r="I40" s="7">
        <f t="shared" si="1"/>
        <v>52000</v>
      </c>
      <c r="J40" s="8"/>
      <c r="K40" s="9"/>
      <c r="L40" s="8"/>
      <c r="M40" s="9"/>
      <c r="N40" s="8"/>
      <c r="O40" s="9"/>
      <c r="P40" s="10">
        <v>52000</v>
      </c>
      <c r="Q40" s="9"/>
      <c r="R40" s="8"/>
    </row>
    <row r="41" spans="1:18" x14ac:dyDescent="0.25">
      <c r="A41" s="15" t="s">
        <v>72</v>
      </c>
      <c r="B41" s="10">
        <v>4000</v>
      </c>
      <c r="D41">
        <f t="shared" si="3"/>
        <v>4000</v>
      </c>
      <c r="E41" s="17">
        <f t="shared" si="2"/>
        <v>0</v>
      </c>
      <c r="G41" s="5" t="s">
        <v>41</v>
      </c>
      <c r="H41" s="11" t="s">
        <v>52</v>
      </c>
      <c r="I41" s="7">
        <f t="shared" si="1"/>
        <v>511820</v>
      </c>
      <c r="J41" s="8"/>
      <c r="K41" s="9"/>
      <c r="L41" s="8"/>
      <c r="M41" s="9"/>
      <c r="N41" s="8"/>
      <c r="O41" s="9"/>
      <c r="P41" s="8"/>
      <c r="Q41" s="9"/>
      <c r="R41" s="10">
        <v>511820</v>
      </c>
    </row>
    <row r="42" spans="1:18" x14ac:dyDescent="0.25">
      <c r="A42" s="15" t="s">
        <v>73</v>
      </c>
      <c r="B42" s="10">
        <v>496253</v>
      </c>
      <c r="D42">
        <f t="shared" si="3"/>
        <v>496253</v>
      </c>
      <c r="E42" s="17">
        <f t="shared" si="2"/>
        <v>0</v>
      </c>
      <c r="G42" s="5" t="s">
        <v>41</v>
      </c>
      <c r="H42" s="11" t="s">
        <v>53</v>
      </c>
      <c r="I42" s="7">
        <f t="shared" si="1"/>
        <v>461812</v>
      </c>
      <c r="J42" s="8"/>
      <c r="K42" s="9"/>
      <c r="L42" s="8"/>
      <c r="M42" s="9"/>
      <c r="N42" s="8"/>
      <c r="O42" s="9"/>
      <c r="P42" s="8"/>
      <c r="Q42" s="9"/>
      <c r="R42" s="10">
        <v>461812</v>
      </c>
    </row>
    <row r="43" spans="1:18" x14ac:dyDescent="0.25">
      <c r="A43" s="15" t="s">
        <v>20</v>
      </c>
      <c r="B43" s="10">
        <v>3950</v>
      </c>
      <c r="D43">
        <f t="shared" si="3"/>
        <v>3950</v>
      </c>
      <c r="E43" s="17">
        <f t="shared" si="2"/>
        <v>0</v>
      </c>
      <c r="G43" s="5" t="s">
        <v>41</v>
      </c>
      <c r="H43" s="11" t="s">
        <v>54</v>
      </c>
      <c r="I43" s="7">
        <f t="shared" si="1"/>
        <v>900848</v>
      </c>
      <c r="J43" s="8"/>
      <c r="K43" s="9"/>
      <c r="L43" s="8"/>
      <c r="M43" s="9"/>
      <c r="N43" s="8"/>
      <c r="O43" s="9"/>
      <c r="P43" s="8"/>
      <c r="Q43" s="9"/>
      <c r="R43" s="10">
        <v>900848</v>
      </c>
    </row>
    <row r="44" spans="1:18" x14ac:dyDescent="0.25">
      <c r="A44" s="15" t="s">
        <v>74</v>
      </c>
      <c r="B44" s="10">
        <v>2610248</v>
      </c>
      <c r="D44">
        <f t="shared" si="3"/>
        <v>2610248</v>
      </c>
      <c r="E44" s="17">
        <f t="shared" si="2"/>
        <v>0</v>
      </c>
      <c r="G44" s="5" t="s">
        <v>41</v>
      </c>
      <c r="H44" s="11" t="s">
        <v>55</v>
      </c>
      <c r="I44" s="7">
        <f t="shared" si="1"/>
        <v>1341583</v>
      </c>
      <c r="J44" s="8"/>
      <c r="K44" s="9"/>
      <c r="L44" s="8"/>
      <c r="M44" s="9"/>
      <c r="N44" s="8"/>
      <c r="O44" s="9"/>
      <c r="P44" s="8"/>
      <c r="Q44" s="7">
        <v>668000</v>
      </c>
      <c r="R44" s="10">
        <v>673583</v>
      </c>
    </row>
    <row r="45" spans="1:18" x14ac:dyDescent="0.25">
      <c r="A45" s="15" t="s">
        <v>75</v>
      </c>
      <c r="B45" s="10">
        <v>528500</v>
      </c>
      <c r="D45">
        <f t="shared" si="3"/>
        <v>528500</v>
      </c>
      <c r="E45" s="17">
        <f t="shared" si="2"/>
        <v>0</v>
      </c>
      <c r="G45" s="5" t="s">
        <v>41</v>
      </c>
      <c r="H45" s="11" t="s">
        <v>56</v>
      </c>
      <c r="I45" s="7">
        <f t="shared" si="1"/>
        <v>13280</v>
      </c>
      <c r="J45" s="8"/>
      <c r="K45" s="9"/>
      <c r="L45" s="8"/>
      <c r="M45" s="9"/>
      <c r="N45" s="8"/>
      <c r="O45" s="9"/>
      <c r="P45" s="8"/>
      <c r="Q45" s="7">
        <v>13280</v>
      </c>
      <c r="R45" s="8"/>
    </row>
    <row r="46" spans="1:18" x14ac:dyDescent="0.25">
      <c r="A46" s="15" t="s">
        <v>76</v>
      </c>
      <c r="B46" s="10">
        <v>688177</v>
      </c>
      <c r="D46">
        <f t="shared" si="3"/>
        <v>688177</v>
      </c>
      <c r="E46" s="17">
        <f t="shared" si="2"/>
        <v>0</v>
      </c>
      <c r="G46" s="5" t="s">
        <v>41</v>
      </c>
      <c r="H46" s="11" t="s">
        <v>57</v>
      </c>
      <c r="I46" s="7">
        <f t="shared" si="1"/>
        <v>753532</v>
      </c>
      <c r="J46" s="8"/>
      <c r="K46" s="9"/>
      <c r="L46" s="8"/>
      <c r="M46" s="9"/>
      <c r="N46" s="8"/>
      <c r="O46" s="9"/>
      <c r="P46" s="8"/>
      <c r="Q46" s="9"/>
      <c r="R46" s="10">
        <v>753532</v>
      </c>
    </row>
    <row r="47" spans="1:18" x14ac:dyDescent="0.25">
      <c r="A47" s="15" t="s">
        <v>77</v>
      </c>
      <c r="B47" s="10">
        <v>23175</v>
      </c>
      <c r="D47">
        <f t="shared" si="3"/>
        <v>23175</v>
      </c>
      <c r="E47" s="17">
        <f t="shared" si="2"/>
        <v>0</v>
      </c>
      <c r="G47" s="5" t="s">
        <v>41</v>
      </c>
      <c r="H47" s="11" t="s">
        <v>58</v>
      </c>
      <c r="I47" s="7">
        <f t="shared" si="1"/>
        <v>131750</v>
      </c>
      <c r="J47" s="8"/>
      <c r="K47" s="9"/>
      <c r="L47" s="8"/>
      <c r="M47" s="9"/>
      <c r="N47" s="8"/>
      <c r="O47" s="7">
        <v>106925</v>
      </c>
      <c r="P47" s="8"/>
      <c r="Q47" s="9"/>
      <c r="R47" s="10">
        <v>24825</v>
      </c>
    </row>
    <row r="48" spans="1:18" x14ac:dyDescent="0.25">
      <c r="A48" s="15" t="s">
        <v>21</v>
      </c>
      <c r="B48" s="10">
        <v>31300</v>
      </c>
      <c r="D48">
        <f t="shared" si="3"/>
        <v>31300</v>
      </c>
      <c r="E48" s="17">
        <f t="shared" si="2"/>
        <v>0</v>
      </c>
      <c r="G48" s="5" t="s">
        <v>41</v>
      </c>
      <c r="H48" s="11" t="s">
        <v>59</v>
      </c>
      <c r="I48" s="7">
        <f t="shared" si="1"/>
        <v>3222982</v>
      </c>
      <c r="J48" s="8"/>
      <c r="K48" s="9"/>
      <c r="L48" s="8"/>
      <c r="M48" s="9"/>
      <c r="N48" s="8"/>
      <c r="O48" s="9"/>
      <c r="P48" s="8"/>
      <c r="Q48" s="9"/>
      <c r="R48" s="10">
        <v>3222982</v>
      </c>
    </row>
    <row r="49" spans="1:18" x14ac:dyDescent="0.25">
      <c r="A49" s="15" t="s">
        <v>78</v>
      </c>
      <c r="B49" s="10">
        <v>47200</v>
      </c>
      <c r="D49">
        <f t="shared" si="3"/>
        <v>47200</v>
      </c>
      <c r="E49" s="17">
        <f t="shared" si="2"/>
        <v>0</v>
      </c>
      <c r="G49" s="5" t="s">
        <v>41</v>
      </c>
      <c r="H49" s="11" t="s">
        <v>60</v>
      </c>
      <c r="I49" s="7">
        <f t="shared" si="1"/>
        <v>296940</v>
      </c>
      <c r="J49" s="8"/>
      <c r="K49" s="9"/>
      <c r="L49" s="8"/>
      <c r="M49" s="9"/>
      <c r="N49" s="8"/>
      <c r="O49" s="9"/>
      <c r="P49" s="8"/>
      <c r="Q49" s="9"/>
      <c r="R49" s="10">
        <v>296940</v>
      </c>
    </row>
    <row r="50" spans="1:18" x14ac:dyDescent="0.25">
      <c r="A50" s="15" t="s">
        <v>22</v>
      </c>
      <c r="B50" s="10">
        <v>1280</v>
      </c>
      <c r="D50">
        <f t="shared" si="3"/>
        <v>1280</v>
      </c>
      <c r="E50" s="17">
        <f t="shared" si="2"/>
        <v>0</v>
      </c>
      <c r="G50" s="5" t="s">
        <v>41</v>
      </c>
      <c r="H50" s="11" t="s">
        <v>61</v>
      </c>
      <c r="I50" s="7">
        <f t="shared" si="1"/>
        <v>1639250</v>
      </c>
      <c r="J50" s="8"/>
      <c r="K50" s="9"/>
      <c r="L50" s="8"/>
      <c r="M50" s="9"/>
      <c r="N50" s="8"/>
      <c r="O50" s="9"/>
      <c r="P50" s="8"/>
      <c r="Q50" s="9"/>
      <c r="R50" s="10">
        <v>1639250</v>
      </c>
    </row>
    <row r="51" spans="1:18" x14ac:dyDescent="0.25">
      <c r="A51" s="15" t="s">
        <v>23</v>
      </c>
      <c r="B51" s="10">
        <v>180</v>
      </c>
      <c r="D51">
        <f t="shared" si="3"/>
        <v>180</v>
      </c>
      <c r="E51" s="17">
        <f t="shared" si="2"/>
        <v>0</v>
      </c>
      <c r="G51" s="5" t="s">
        <v>41</v>
      </c>
      <c r="H51" s="11" t="s">
        <v>62</v>
      </c>
      <c r="I51" s="7">
        <f t="shared" si="1"/>
        <v>53935</v>
      </c>
      <c r="J51" s="8"/>
      <c r="K51" s="9"/>
      <c r="L51" s="8"/>
      <c r="M51" s="9"/>
      <c r="N51" s="8"/>
      <c r="O51" s="9"/>
      <c r="P51" s="8"/>
      <c r="Q51" s="7">
        <v>53935</v>
      </c>
      <c r="R51" s="8"/>
    </row>
    <row r="52" spans="1:18" x14ac:dyDescent="0.25">
      <c r="A52" s="15" t="s">
        <v>24</v>
      </c>
      <c r="B52" s="10">
        <v>47355</v>
      </c>
      <c r="D52">
        <f t="shared" si="3"/>
        <v>47355</v>
      </c>
      <c r="E52" s="17">
        <f t="shared" si="2"/>
        <v>0</v>
      </c>
      <c r="G52" s="5" t="s">
        <v>41</v>
      </c>
      <c r="H52" s="11" t="s">
        <v>63</v>
      </c>
      <c r="I52" s="7">
        <f t="shared" si="1"/>
        <v>950</v>
      </c>
      <c r="J52" s="8"/>
      <c r="K52" s="9"/>
      <c r="L52" s="8"/>
      <c r="M52" s="9"/>
      <c r="N52" s="8"/>
      <c r="O52" s="9"/>
      <c r="P52" s="10">
        <v>950</v>
      </c>
      <c r="Q52" s="9"/>
      <c r="R52" s="8"/>
    </row>
    <row r="53" spans="1:18" x14ac:dyDescent="0.25">
      <c r="A53" s="15" t="s">
        <v>79</v>
      </c>
      <c r="B53" s="10">
        <v>45014</v>
      </c>
      <c r="D53">
        <f t="shared" si="3"/>
        <v>45014</v>
      </c>
      <c r="E53" s="17">
        <f t="shared" si="2"/>
        <v>0</v>
      </c>
      <c r="G53" s="5" t="s">
        <v>41</v>
      </c>
      <c r="H53" s="11" t="s">
        <v>64</v>
      </c>
      <c r="I53" s="7">
        <f t="shared" si="1"/>
        <v>4350</v>
      </c>
      <c r="J53" s="8"/>
      <c r="K53" s="9"/>
      <c r="L53" s="8"/>
      <c r="M53" s="9"/>
      <c r="N53" s="8"/>
      <c r="O53" s="9"/>
      <c r="P53" s="10">
        <v>4350</v>
      </c>
      <c r="Q53" s="9"/>
      <c r="R53" s="8"/>
    </row>
    <row r="54" spans="1:18" x14ac:dyDescent="0.25">
      <c r="A54" s="15" t="s">
        <v>80</v>
      </c>
      <c r="B54" s="10">
        <v>51000</v>
      </c>
      <c r="D54">
        <f t="shared" si="3"/>
        <v>51000</v>
      </c>
      <c r="E54" s="17">
        <f t="shared" si="2"/>
        <v>0</v>
      </c>
      <c r="G54" s="5" t="s">
        <v>41</v>
      </c>
      <c r="H54" s="11" t="s">
        <v>65</v>
      </c>
      <c r="I54" s="7">
        <f t="shared" si="1"/>
        <v>2000</v>
      </c>
      <c r="J54" s="8"/>
      <c r="K54" s="9"/>
      <c r="L54" s="8"/>
      <c r="M54" s="9"/>
      <c r="N54" s="8"/>
      <c r="O54" s="7">
        <v>385</v>
      </c>
      <c r="P54" s="10">
        <v>1615</v>
      </c>
      <c r="Q54" s="9"/>
      <c r="R54" s="8"/>
    </row>
    <row r="55" spans="1:18" x14ac:dyDescent="0.25">
      <c r="A55" s="15" t="s">
        <v>81</v>
      </c>
      <c r="B55" s="10">
        <v>235925</v>
      </c>
      <c r="D55">
        <f t="shared" si="3"/>
        <v>235925</v>
      </c>
      <c r="E55" s="17">
        <f t="shared" si="2"/>
        <v>0</v>
      </c>
      <c r="G55" s="5" t="s">
        <v>41</v>
      </c>
      <c r="H55" s="11" t="s">
        <v>66</v>
      </c>
      <c r="I55" s="7">
        <f t="shared" si="1"/>
        <v>594147.4</v>
      </c>
      <c r="J55" s="8"/>
      <c r="K55" s="9"/>
      <c r="L55" s="8"/>
      <c r="M55" s="9"/>
      <c r="N55" s="8"/>
      <c r="O55" s="9"/>
      <c r="P55" s="8"/>
      <c r="Q55" s="9"/>
      <c r="R55" s="10">
        <v>594147.4</v>
      </c>
    </row>
    <row r="56" spans="1:18" x14ac:dyDescent="0.25">
      <c r="A56" s="15" t="s">
        <v>82</v>
      </c>
      <c r="B56" s="10">
        <v>755000</v>
      </c>
      <c r="D56">
        <f t="shared" si="3"/>
        <v>755000</v>
      </c>
      <c r="E56" s="17">
        <f t="shared" si="2"/>
        <v>0</v>
      </c>
      <c r="G56" s="5" t="s">
        <v>41</v>
      </c>
      <c r="H56" s="11" t="s">
        <v>67</v>
      </c>
      <c r="I56" s="7">
        <f t="shared" si="1"/>
        <v>864426</v>
      </c>
      <c r="J56" s="8"/>
      <c r="K56" s="9"/>
      <c r="L56" s="8"/>
      <c r="M56" s="9"/>
      <c r="N56" s="8"/>
      <c r="O56" s="9"/>
      <c r="P56" s="10">
        <v>864426</v>
      </c>
      <c r="Q56" s="9"/>
      <c r="R56" s="8"/>
    </row>
    <row r="57" spans="1:18" x14ac:dyDescent="0.25">
      <c r="A57" s="15" t="s">
        <v>83</v>
      </c>
      <c r="B57" s="10">
        <v>63075</v>
      </c>
      <c r="D57">
        <f t="shared" si="3"/>
        <v>63075</v>
      </c>
      <c r="E57" s="17">
        <f t="shared" si="2"/>
        <v>0</v>
      </c>
      <c r="G57" s="5" t="s">
        <v>41</v>
      </c>
      <c r="H57" s="11" t="s">
        <v>68</v>
      </c>
      <c r="I57" s="7">
        <f t="shared" ref="I57:I105" si="4">SUM(J57:R57)</f>
        <v>36700</v>
      </c>
      <c r="J57" s="8"/>
      <c r="K57" s="9"/>
      <c r="L57" s="8"/>
      <c r="M57" s="9"/>
      <c r="N57" s="8"/>
      <c r="O57" s="9"/>
      <c r="P57" s="8"/>
      <c r="Q57" s="9"/>
      <c r="R57" s="10">
        <v>36700</v>
      </c>
    </row>
    <row r="58" spans="1:18" x14ac:dyDescent="0.25">
      <c r="A58" s="15" t="s">
        <v>25</v>
      </c>
      <c r="B58" s="10">
        <v>8185</v>
      </c>
      <c r="D58">
        <f t="shared" si="3"/>
        <v>8185</v>
      </c>
      <c r="E58" s="17">
        <f t="shared" si="2"/>
        <v>0</v>
      </c>
      <c r="G58" s="5" t="s">
        <v>41</v>
      </c>
      <c r="H58" s="11" t="s">
        <v>69</v>
      </c>
      <c r="I58" s="7">
        <f t="shared" si="4"/>
        <v>76200</v>
      </c>
      <c r="J58" s="8"/>
      <c r="K58" s="9"/>
      <c r="L58" s="8"/>
      <c r="M58" s="9"/>
      <c r="N58" s="8"/>
      <c r="O58" s="9"/>
      <c r="P58" s="8"/>
      <c r="Q58" s="9"/>
      <c r="R58" s="10">
        <v>76200</v>
      </c>
    </row>
    <row r="59" spans="1:18" x14ac:dyDescent="0.25">
      <c r="A59" s="15" t="s">
        <v>84</v>
      </c>
      <c r="B59" s="10">
        <v>14160</v>
      </c>
      <c r="D59">
        <f t="shared" si="3"/>
        <v>14160</v>
      </c>
      <c r="E59" s="17">
        <f t="shared" si="2"/>
        <v>0</v>
      </c>
      <c r="G59" s="5" t="s">
        <v>41</v>
      </c>
      <c r="H59" s="11" t="s">
        <v>70</v>
      </c>
      <c r="I59" s="7">
        <f t="shared" si="4"/>
        <v>317430</v>
      </c>
      <c r="J59" s="8"/>
      <c r="K59" s="9"/>
      <c r="L59" s="8"/>
      <c r="M59" s="9"/>
      <c r="N59" s="8"/>
      <c r="O59" s="9"/>
      <c r="P59" s="8"/>
      <c r="Q59" s="9"/>
      <c r="R59" s="10">
        <v>317430</v>
      </c>
    </row>
    <row r="60" spans="1:18" x14ac:dyDescent="0.25">
      <c r="A60" s="15" t="s">
        <v>26</v>
      </c>
      <c r="B60" s="10">
        <v>56995</v>
      </c>
      <c r="D60">
        <f t="shared" si="3"/>
        <v>56995</v>
      </c>
      <c r="E60" s="17">
        <f t="shared" si="2"/>
        <v>0</v>
      </c>
      <c r="G60" s="5" t="s">
        <v>41</v>
      </c>
      <c r="H60" s="11" t="s">
        <v>71</v>
      </c>
      <c r="I60" s="7">
        <f t="shared" si="4"/>
        <v>101265</v>
      </c>
      <c r="J60" s="8"/>
      <c r="K60" s="9"/>
      <c r="L60" s="8"/>
      <c r="M60" s="9"/>
      <c r="N60" s="8"/>
      <c r="O60" s="9"/>
      <c r="P60" s="8"/>
      <c r="Q60" s="9"/>
      <c r="R60" s="10">
        <v>101265</v>
      </c>
    </row>
    <row r="61" spans="1:18" x14ac:dyDescent="0.25">
      <c r="A61" s="15" t="s">
        <v>85</v>
      </c>
      <c r="B61" s="10">
        <v>3940</v>
      </c>
      <c r="D61">
        <f t="shared" si="3"/>
        <v>3940</v>
      </c>
      <c r="E61" s="17">
        <f t="shared" si="2"/>
        <v>0</v>
      </c>
      <c r="G61" s="5" t="s">
        <v>41</v>
      </c>
      <c r="H61" s="11" t="s">
        <v>72</v>
      </c>
      <c r="I61" s="7">
        <f t="shared" si="4"/>
        <v>4000</v>
      </c>
      <c r="J61" s="8"/>
      <c r="K61" s="9"/>
      <c r="L61" s="8"/>
      <c r="M61" s="9"/>
      <c r="N61" s="8"/>
      <c r="O61" s="9"/>
      <c r="P61" s="8"/>
      <c r="Q61" s="7">
        <v>4000</v>
      </c>
      <c r="R61" s="8"/>
    </row>
    <row r="62" spans="1:18" x14ac:dyDescent="0.25">
      <c r="A62" s="15" t="s">
        <v>86</v>
      </c>
      <c r="B62" s="10">
        <v>24960</v>
      </c>
      <c r="D62">
        <f t="shared" si="3"/>
        <v>24960</v>
      </c>
      <c r="E62" s="17">
        <f t="shared" si="2"/>
        <v>0</v>
      </c>
      <c r="G62" s="5" t="s">
        <v>41</v>
      </c>
      <c r="H62" s="11" t="s">
        <v>73</v>
      </c>
      <c r="I62" s="7">
        <f t="shared" si="4"/>
        <v>496253</v>
      </c>
      <c r="J62" s="8"/>
      <c r="K62" s="9"/>
      <c r="L62" s="8"/>
      <c r="M62" s="9"/>
      <c r="N62" s="8"/>
      <c r="O62" s="9"/>
      <c r="P62" s="8"/>
      <c r="Q62" s="9"/>
      <c r="R62" s="10">
        <v>496253</v>
      </c>
    </row>
    <row r="63" spans="1:18" x14ac:dyDescent="0.25">
      <c r="A63" s="15" t="s">
        <v>87</v>
      </c>
      <c r="B63" s="10">
        <v>119005.51</v>
      </c>
      <c r="D63">
        <f t="shared" si="3"/>
        <v>119005.51</v>
      </c>
      <c r="E63" s="17">
        <f t="shared" si="2"/>
        <v>0</v>
      </c>
      <c r="G63" s="5" t="s">
        <v>41</v>
      </c>
      <c r="H63" s="11" t="s">
        <v>74</v>
      </c>
      <c r="I63" s="7">
        <f t="shared" si="4"/>
        <v>2610248</v>
      </c>
      <c r="J63" s="8"/>
      <c r="K63" s="9"/>
      <c r="L63" s="8"/>
      <c r="M63" s="9"/>
      <c r="N63" s="8"/>
      <c r="O63" s="9"/>
      <c r="P63" s="8"/>
      <c r="Q63" s="9"/>
      <c r="R63" s="10">
        <v>2610248</v>
      </c>
    </row>
    <row r="64" spans="1:18" x14ac:dyDescent="0.25">
      <c r="A64" s="15" t="s">
        <v>88</v>
      </c>
      <c r="B64" s="10">
        <v>215059</v>
      </c>
      <c r="D64">
        <f t="shared" si="3"/>
        <v>215059</v>
      </c>
      <c r="E64" s="17">
        <f t="shared" si="2"/>
        <v>0</v>
      </c>
      <c r="G64" s="5" t="s">
        <v>41</v>
      </c>
      <c r="H64" s="11" t="s">
        <v>75</v>
      </c>
      <c r="I64" s="7">
        <f t="shared" si="4"/>
        <v>528500</v>
      </c>
      <c r="J64" s="8"/>
      <c r="K64" s="9"/>
      <c r="L64" s="8"/>
      <c r="M64" s="9"/>
      <c r="N64" s="8"/>
      <c r="O64" s="9"/>
      <c r="P64" s="8"/>
      <c r="Q64" s="9"/>
      <c r="R64" s="10">
        <v>528500</v>
      </c>
    </row>
    <row r="65" spans="1:18" x14ac:dyDescent="0.25">
      <c r="A65" s="15" t="s">
        <v>89</v>
      </c>
      <c r="B65" s="10">
        <v>1330</v>
      </c>
      <c r="D65">
        <f t="shared" si="3"/>
        <v>1330</v>
      </c>
      <c r="E65" s="17">
        <f t="shared" si="2"/>
        <v>0</v>
      </c>
      <c r="G65" s="5" t="s">
        <v>41</v>
      </c>
      <c r="H65" s="11" t="s">
        <v>76</v>
      </c>
      <c r="I65" s="7">
        <f t="shared" si="4"/>
        <v>688177</v>
      </c>
      <c r="J65" s="8"/>
      <c r="K65" s="9"/>
      <c r="L65" s="8"/>
      <c r="M65" s="9"/>
      <c r="N65" s="8"/>
      <c r="O65" s="9"/>
      <c r="P65" s="8"/>
      <c r="Q65" s="9"/>
      <c r="R65" s="10">
        <v>688177</v>
      </c>
    </row>
    <row r="66" spans="1:18" x14ac:dyDescent="0.25">
      <c r="A66" s="15" t="s">
        <v>27</v>
      </c>
      <c r="B66" s="10">
        <v>4590</v>
      </c>
      <c r="D66">
        <f t="shared" ref="D66:D97" si="5">VLOOKUP(A66,$H$2:$I$105,2,0)</f>
        <v>4590</v>
      </c>
      <c r="E66" s="17">
        <f t="shared" si="2"/>
        <v>0</v>
      </c>
      <c r="G66" s="5" t="s">
        <v>41</v>
      </c>
      <c r="H66" s="11" t="s">
        <v>77</v>
      </c>
      <c r="I66" s="7">
        <f t="shared" si="4"/>
        <v>23175</v>
      </c>
      <c r="J66" s="8"/>
      <c r="K66" s="9"/>
      <c r="L66" s="8"/>
      <c r="M66" s="9"/>
      <c r="N66" s="8"/>
      <c r="O66" s="9"/>
      <c r="P66" s="8"/>
      <c r="Q66" s="7">
        <v>23175</v>
      </c>
      <c r="R66" s="8"/>
    </row>
    <row r="67" spans="1:18" x14ac:dyDescent="0.25">
      <c r="A67" s="15" t="s">
        <v>28</v>
      </c>
      <c r="B67" s="10">
        <v>62003</v>
      </c>
      <c r="D67">
        <f t="shared" si="5"/>
        <v>62003</v>
      </c>
      <c r="E67" s="17">
        <f t="shared" ref="E67:E105" si="6">+B67-D67</f>
        <v>0</v>
      </c>
      <c r="G67" s="5" t="s">
        <v>41</v>
      </c>
      <c r="H67" s="11" t="s">
        <v>78</v>
      </c>
      <c r="I67" s="7">
        <f t="shared" si="4"/>
        <v>47200</v>
      </c>
      <c r="J67" s="8"/>
      <c r="K67" s="9"/>
      <c r="L67" s="8"/>
      <c r="M67" s="9"/>
      <c r="N67" s="8"/>
      <c r="O67" s="9"/>
      <c r="P67" s="8"/>
      <c r="Q67" s="9"/>
      <c r="R67" s="10">
        <v>47200</v>
      </c>
    </row>
    <row r="68" spans="1:18" x14ac:dyDescent="0.25">
      <c r="A68" s="15" t="s">
        <v>90</v>
      </c>
      <c r="B68" s="10">
        <v>241849</v>
      </c>
      <c r="D68">
        <f t="shared" si="5"/>
        <v>241849</v>
      </c>
      <c r="E68" s="17">
        <f t="shared" si="6"/>
        <v>0</v>
      </c>
      <c r="G68" s="5" t="s">
        <v>41</v>
      </c>
      <c r="H68" s="11" t="s">
        <v>79</v>
      </c>
      <c r="I68" s="7">
        <f t="shared" si="4"/>
        <v>45014</v>
      </c>
      <c r="J68" s="8"/>
      <c r="K68" s="9"/>
      <c r="L68" s="8"/>
      <c r="M68" s="9"/>
      <c r="N68" s="8"/>
      <c r="O68" s="9"/>
      <c r="P68" s="8"/>
      <c r="Q68" s="9"/>
      <c r="R68" s="10">
        <v>45014</v>
      </c>
    </row>
    <row r="69" spans="1:18" x14ac:dyDescent="0.25">
      <c r="A69" s="15" t="s">
        <v>91</v>
      </c>
      <c r="B69" s="10">
        <v>356899</v>
      </c>
      <c r="D69">
        <f t="shared" si="5"/>
        <v>356899</v>
      </c>
      <c r="E69" s="17">
        <f t="shared" si="6"/>
        <v>0</v>
      </c>
      <c r="G69" s="5" t="s">
        <v>41</v>
      </c>
      <c r="H69" s="11" t="s">
        <v>80</v>
      </c>
      <c r="I69" s="7">
        <f t="shared" si="4"/>
        <v>51000</v>
      </c>
      <c r="J69" s="8"/>
      <c r="K69" s="9"/>
      <c r="L69" s="8"/>
      <c r="M69" s="9"/>
      <c r="N69" s="8"/>
      <c r="O69" s="9"/>
      <c r="P69" s="8"/>
      <c r="Q69" s="9"/>
      <c r="R69" s="10">
        <v>51000</v>
      </c>
    </row>
    <row r="70" spans="1:18" x14ac:dyDescent="0.25">
      <c r="A70" s="15" t="s">
        <v>92</v>
      </c>
      <c r="B70" s="10">
        <v>653616</v>
      </c>
      <c r="D70">
        <f t="shared" si="5"/>
        <v>653616</v>
      </c>
      <c r="E70" s="17">
        <f t="shared" si="6"/>
        <v>0</v>
      </c>
      <c r="G70" s="5" t="s">
        <v>41</v>
      </c>
      <c r="H70" s="11" t="s">
        <v>81</v>
      </c>
      <c r="I70" s="7">
        <f t="shared" si="4"/>
        <v>235925</v>
      </c>
      <c r="J70" s="8"/>
      <c r="K70" s="9"/>
      <c r="L70" s="8"/>
      <c r="M70" s="9"/>
      <c r="N70" s="8"/>
      <c r="O70" s="9"/>
      <c r="P70" s="8"/>
      <c r="Q70" s="9"/>
      <c r="R70" s="10">
        <v>235925</v>
      </c>
    </row>
    <row r="71" spans="1:18" x14ac:dyDescent="0.25">
      <c r="A71" s="15" t="s">
        <v>29</v>
      </c>
      <c r="B71" s="10">
        <v>22780</v>
      </c>
      <c r="D71">
        <f t="shared" si="5"/>
        <v>22780</v>
      </c>
      <c r="E71" s="17">
        <f t="shared" si="6"/>
        <v>0</v>
      </c>
      <c r="G71" s="5" t="s">
        <v>41</v>
      </c>
      <c r="H71" s="11" t="s">
        <v>82</v>
      </c>
      <c r="I71" s="7">
        <f t="shared" si="4"/>
        <v>755000</v>
      </c>
      <c r="J71" s="8"/>
      <c r="K71" s="9"/>
      <c r="L71" s="8"/>
      <c r="M71" s="9"/>
      <c r="N71" s="8"/>
      <c r="O71" s="9"/>
      <c r="P71" s="8"/>
      <c r="Q71" s="9"/>
      <c r="R71" s="10">
        <v>755000</v>
      </c>
    </row>
    <row r="72" spans="1:18" x14ac:dyDescent="0.25">
      <c r="A72" s="15" t="s">
        <v>93</v>
      </c>
      <c r="B72" s="10">
        <v>1304929</v>
      </c>
      <c r="D72">
        <f t="shared" si="5"/>
        <v>1304929</v>
      </c>
      <c r="E72" s="17">
        <f t="shared" si="6"/>
        <v>0</v>
      </c>
      <c r="G72" s="5" t="s">
        <v>41</v>
      </c>
      <c r="H72" s="11" t="s">
        <v>83</v>
      </c>
      <c r="I72" s="7">
        <f t="shared" si="4"/>
        <v>63075</v>
      </c>
      <c r="J72" s="8"/>
      <c r="K72" s="9"/>
      <c r="L72" s="8"/>
      <c r="M72" s="9"/>
      <c r="N72" s="8"/>
      <c r="O72" s="9"/>
      <c r="P72" s="8"/>
      <c r="Q72" s="7">
        <v>48450</v>
      </c>
      <c r="R72" s="10">
        <v>14625</v>
      </c>
    </row>
    <row r="73" spans="1:18" x14ac:dyDescent="0.25">
      <c r="A73" s="15" t="s">
        <v>30</v>
      </c>
      <c r="B73" s="10">
        <v>113005</v>
      </c>
      <c r="D73">
        <f t="shared" si="5"/>
        <v>113005</v>
      </c>
      <c r="E73" s="17">
        <f t="shared" si="6"/>
        <v>0</v>
      </c>
      <c r="G73" s="5" t="s">
        <v>41</v>
      </c>
      <c r="H73" s="11" t="s">
        <v>84</v>
      </c>
      <c r="I73" s="7">
        <f t="shared" si="4"/>
        <v>14160</v>
      </c>
      <c r="J73" s="8"/>
      <c r="K73" s="9"/>
      <c r="L73" s="8"/>
      <c r="M73" s="9"/>
      <c r="N73" s="8"/>
      <c r="O73" s="9"/>
      <c r="P73" s="8"/>
      <c r="Q73" s="9"/>
      <c r="R73" s="10">
        <v>14160</v>
      </c>
    </row>
    <row r="74" spans="1:18" x14ac:dyDescent="0.25">
      <c r="A74" s="15" t="s">
        <v>94</v>
      </c>
      <c r="B74" s="10">
        <v>874075</v>
      </c>
      <c r="D74">
        <f t="shared" si="5"/>
        <v>874075</v>
      </c>
      <c r="E74" s="17">
        <f t="shared" si="6"/>
        <v>0</v>
      </c>
      <c r="G74" s="5" t="s">
        <v>41</v>
      </c>
      <c r="H74" s="11" t="s">
        <v>85</v>
      </c>
      <c r="I74" s="7">
        <f t="shared" si="4"/>
        <v>3940</v>
      </c>
      <c r="J74" s="8"/>
      <c r="K74" s="9"/>
      <c r="L74" s="8"/>
      <c r="M74" s="9"/>
      <c r="N74" s="8"/>
      <c r="O74" s="7">
        <v>3940</v>
      </c>
      <c r="P74" s="8"/>
      <c r="Q74" s="9"/>
      <c r="R74" s="8"/>
    </row>
    <row r="75" spans="1:18" x14ac:dyDescent="0.25">
      <c r="A75" s="15" t="s">
        <v>95</v>
      </c>
      <c r="B75" s="10">
        <v>18295</v>
      </c>
      <c r="D75">
        <f t="shared" si="5"/>
        <v>18295</v>
      </c>
      <c r="E75" s="17">
        <f t="shared" si="6"/>
        <v>0</v>
      </c>
      <c r="G75" s="5" t="s">
        <v>41</v>
      </c>
      <c r="H75" s="11" t="s">
        <v>86</v>
      </c>
      <c r="I75" s="7">
        <f t="shared" si="4"/>
        <v>24960</v>
      </c>
      <c r="J75" s="8"/>
      <c r="K75" s="9"/>
      <c r="L75" s="8"/>
      <c r="M75" s="9"/>
      <c r="N75" s="8"/>
      <c r="O75" s="9"/>
      <c r="P75" s="8"/>
      <c r="Q75" s="9"/>
      <c r="R75" s="10">
        <v>24960</v>
      </c>
    </row>
    <row r="76" spans="1:18" x14ac:dyDescent="0.25">
      <c r="A76" s="15" t="s">
        <v>31</v>
      </c>
      <c r="B76" s="10">
        <v>795</v>
      </c>
      <c r="D76">
        <f t="shared" si="5"/>
        <v>795</v>
      </c>
      <c r="E76" s="17">
        <f t="shared" si="6"/>
        <v>0</v>
      </c>
      <c r="G76" s="5" t="s">
        <v>41</v>
      </c>
      <c r="H76" s="11" t="s">
        <v>87</v>
      </c>
      <c r="I76" s="7">
        <f t="shared" si="4"/>
        <v>119005.51</v>
      </c>
      <c r="J76" s="8"/>
      <c r="K76" s="9"/>
      <c r="L76" s="8"/>
      <c r="M76" s="9"/>
      <c r="N76" s="8"/>
      <c r="O76" s="9"/>
      <c r="P76" s="8"/>
      <c r="Q76" s="9"/>
      <c r="R76" s="10">
        <v>119005.51</v>
      </c>
    </row>
    <row r="77" spans="1:18" x14ac:dyDescent="0.25">
      <c r="A77" s="15" t="s">
        <v>96</v>
      </c>
      <c r="B77" s="10">
        <v>223000</v>
      </c>
      <c r="D77">
        <f t="shared" si="5"/>
        <v>223000</v>
      </c>
      <c r="E77" s="17">
        <f t="shared" si="6"/>
        <v>0</v>
      </c>
      <c r="G77" s="5" t="s">
        <v>41</v>
      </c>
      <c r="H77" s="11" t="s">
        <v>88</v>
      </c>
      <c r="I77" s="7">
        <f t="shared" si="4"/>
        <v>215059</v>
      </c>
      <c r="J77" s="8"/>
      <c r="K77" s="9"/>
      <c r="L77" s="8"/>
      <c r="M77" s="9"/>
      <c r="N77" s="8"/>
      <c r="O77" s="9"/>
      <c r="P77" s="8"/>
      <c r="Q77" s="9"/>
      <c r="R77" s="10">
        <v>215059</v>
      </c>
    </row>
    <row r="78" spans="1:18" x14ac:dyDescent="0.25">
      <c r="A78" s="15" t="s">
        <v>117</v>
      </c>
      <c r="B78" s="10">
        <v>5950</v>
      </c>
      <c r="D78">
        <f t="shared" si="5"/>
        <v>5950</v>
      </c>
      <c r="E78" s="17">
        <f t="shared" si="6"/>
        <v>0</v>
      </c>
      <c r="G78" s="5" t="s">
        <v>41</v>
      </c>
      <c r="H78" s="11" t="s">
        <v>89</v>
      </c>
      <c r="I78" s="7">
        <f t="shared" si="4"/>
        <v>1330</v>
      </c>
      <c r="J78" s="8"/>
      <c r="K78" s="9"/>
      <c r="L78" s="8"/>
      <c r="M78" s="9"/>
      <c r="N78" s="8"/>
      <c r="O78" s="7">
        <v>1330</v>
      </c>
      <c r="P78" s="8"/>
      <c r="Q78" s="9"/>
      <c r="R78" s="8"/>
    </row>
    <row r="79" spans="1:18" x14ac:dyDescent="0.25">
      <c r="A79" s="15" t="s">
        <v>97</v>
      </c>
      <c r="B79" s="10">
        <v>840572</v>
      </c>
      <c r="D79">
        <f t="shared" si="5"/>
        <v>840572</v>
      </c>
      <c r="E79" s="17">
        <f t="shared" si="6"/>
        <v>0</v>
      </c>
      <c r="G79" s="5" t="s">
        <v>41</v>
      </c>
      <c r="H79" s="11" t="s">
        <v>90</v>
      </c>
      <c r="I79" s="7">
        <f t="shared" si="4"/>
        <v>241849</v>
      </c>
      <c r="J79" s="8"/>
      <c r="K79" s="9"/>
      <c r="L79" s="8"/>
      <c r="M79" s="9"/>
      <c r="N79" s="8"/>
      <c r="O79" s="9"/>
      <c r="P79" s="8"/>
      <c r="Q79" s="9"/>
      <c r="R79" s="10">
        <v>241849</v>
      </c>
    </row>
    <row r="80" spans="1:18" x14ac:dyDescent="0.25">
      <c r="A80" s="15" t="s">
        <v>32</v>
      </c>
      <c r="B80" s="10">
        <v>589294</v>
      </c>
      <c r="D80">
        <f t="shared" si="5"/>
        <v>589294</v>
      </c>
      <c r="E80" s="17">
        <f t="shared" si="6"/>
        <v>0</v>
      </c>
      <c r="G80" s="5" t="s">
        <v>41</v>
      </c>
      <c r="H80" s="11" t="s">
        <v>91</v>
      </c>
      <c r="I80" s="7">
        <f t="shared" si="4"/>
        <v>356899</v>
      </c>
      <c r="J80" s="8"/>
      <c r="K80" s="9"/>
      <c r="L80" s="8"/>
      <c r="M80" s="9"/>
      <c r="N80" s="8"/>
      <c r="O80" s="9"/>
      <c r="P80" s="8"/>
      <c r="Q80" s="9"/>
      <c r="R80" s="10">
        <v>356899</v>
      </c>
    </row>
    <row r="81" spans="1:18" x14ac:dyDescent="0.25">
      <c r="A81" s="15" t="s">
        <v>120</v>
      </c>
      <c r="B81" s="10">
        <v>436800</v>
      </c>
      <c r="D81">
        <f t="shared" si="5"/>
        <v>436800</v>
      </c>
      <c r="E81" s="17">
        <f t="shared" si="6"/>
        <v>0</v>
      </c>
      <c r="G81" s="5" t="s">
        <v>41</v>
      </c>
      <c r="H81" s="11" t="s">
        <v>92</v>
      </c>
      <c r="I81" s="7">
        <f t="shared" si="4"/>
        <v>653616</v>
      </c>
      <c r="J81" s="8"/>
      <c r="K81" s="9"/>
      <c r="L81" s="8"/>
      <c r="M81" s="9"/>
      <c r="N81" s="8"/>
      <c r="O81" s="9"/>
      <c r="P81" s="8"/>
      <c r="Q81" s="9"/>
      <c r="R81" s="10">
        <v>653616</v>
      </c>
    </row>
    <row r="82" spans="1:18" x14ac:dyDescent="0.25">
      <c r="A82" s="15" t="s">
        <v>33</v>
      </c>
      <c r="B82" s="10">
        <v>10700</v>
      </c>
      <c r="D82">
        <f t="shared" si="5"/>
        <v>10700</v>
      </c>
      <c r="E82" s="17">
        <f t="shared" si="6"/>
        <v>0</v>
      </c>
      <c r="G82" s="5" t="s">
        <v>41</v>
      </c>
      <c r="H82" s="11" t="s">
        <v>93</v>
      </c>
      <c r="I82" s="7">
        <f t="shared" si="4"/>
        <v>1304929</v>
      </c>
      <c r="J82" s="8"/>
      <c r="K82" s="9"/>
      <c r="L82" s="8"/>
      <c r="M82" s="9"/>
      <c r="N82" s="8"/>
      <c r="O82" s="9"/>
      <c r="P82" s="8"/>
      <c r="Q82" s="9"/>
      <c r="R82" s="10">
        <v>1304929</v>
      </c>
    </row>
    <row r="83" spans="1:18" x14ac:dyDescent="0.25">
      <c r="A83" s="15" t="s">
        <v>98</v>
      </c>
      <c r="B83" s="10">
        <v>105900</v>
      </c>
      <c r="D83">
        <f t="shared" si="5"/>
        <v>105900</v>
      </c>
      <c r="E83" s="17">
        <f t="shared" si="6"/>
        <v>0</v>
      </c>
      <c r="G83" s="5" t="s">
        <v>41</v>
      </c>
      <c r="H83" s="11" t="s">
        <v>94</v>
      </c>
      <c r="I83" s="7">
        <f t="shared" si="4"/>
        <v>874075</v>
      </c>
      <c r="J83" s="8"/>
      <c r="K83" s="9"/>
      <c r="L83" s="8"/>
      <c r="M83" s="9"/>
      <c r="N83" s="8"/>
      <c r="O83" s="9"/>
      <c r="P83" s="8"/>
      <c r="Q83" s="9"/>
      <c r="R83" s="10">
        <v>874075</v>
      </c>
    </row>
    <row r="84" spans="1:18" x14ac:dyDescent="0.25">
      <c r="A84" s="15" t="s">
        <v>99</v>
      </c>
      <c r="B84" s="10">
        <v>823063</v>
      </c>
      <c r="D84">
        <f t="shared" si="5"/>
        <v>823063</v>
      </c>
      <c r="E84" s="17">
        <f t="shared" si="6"/>
        <v>0</v>
      </c>
      <c r="G84" s="5" t="s">
        <v>41</v>
      </c>
      <c r="H84" s="11" t="s">
        <v>95</v>
      </c>
      <c r="I84" s="7">
        <f t="shared" si="4"/>
        <v>18295</v>
      </c>
      <c r="J84" s="8"/>
      <c r="K84" s="9"/>
      <c r="L84" s="8"/>
      <c r="M84" s="9"/>
      <c r="N84" s="8"/>
      <c r="O84" s="9"/>
      <c r="P84" s="8"/>
      <c r="Q84" s="7">
        <v>18295</v>
      </c>
      <c r="R84" s="8"/>
    </row>
    <row r="85" spans="1:18" x14ac:dyDescent="0.25">
      <c r="A85" s="15" t="s">
        <v>100</v>
      </c>
      <c r="B85" s="10">
        <v>786840</v>
      </c>
      <c r="D85">
        <f t="shared" si="5"/>
        <v>786840</v>
      </c>
      <c r="E85" s="17">
        <f t="shared" si="6"/>
        <v>0</v>
      </c>
      <c r="G85" s="5" t="s">
        <v>41</v>
      </c>
      <c r="H85" s="11" t="s">
        <v>96</v>
      </c>
      <c r="I85" s="7">
        <f t="shared" si="4"/>
        <v>223000</v>
      </c>
      <c r="J85" s="8"/>
      <c r="K85" s="9"/>
      <c r="L85" s="8"/>
      <c r="M85" s="9"/>
      <c r="N85" s="8"/>
      <c r="O85" s="9"/>
      <c r="P85" s="8"/>
      <c r="Q85" s="9"/>
      <c r="R85" s="10">
        <v>223000</v>
      </c>
    </row>
    <row r="86" spans="1:18" x14ac:dyDescent="0.25">
      <c r="A86" s="15" t="s">
        <v>101</v>
      </c>
      <c r="B86" s="10">
        <v>34169.68</v>
      </c>
      <c r="D86">
        <f t="shared" si="5"/>
        <v>34169.68</v>
      </c>
      <c r="E86" s="17">
        <f t="shared" si="6"/>
        <v>0</v>
      </c>
      <c r="G86" s="5" t="s">
        <v>41</v>
      </c>
      <c r="H86" s="11" t="s">
        <v>97</v>
      </c>
      <c r="I86" s="7">
        <f t="shared" si="4"/>
        <v>840572</v>
      </c>
      <c r="J86" s="8"/>
      <c r="K86" s="9"/>
      <c r="L86" s="8"/>
      <c r="M86" s="9"/>
      <c r="N86" s="8"/>
      <c r="O86" s="9"/>
      <c r="P86" s="8"/>
      <c r="Q86" s="9"/>
      <c r="R86" s="10">
        <v>840572</v>
      </c>
    </row>
    <row r="87" spans="1:18" x14ac:dyDescent="0.25">
      <c r="A87" s="15" t="s">
        <v>102</v>
      </c>
      <c r="B87" s="10">
        <v>92625</v>
      </c>
      <c r="D87">
        <f t="shared" si="5"/>
        <v>92625</v>
      </c>
      <c r="E87" s="17">
        <f t="shared" si="6"/>
        <v>0</v>
      </c>
      <c r="G87" s="5" t="s">
        <v>41</v>
      </c>
      <c r="H87" s="11" t="s">
        <v>98</v>
      </c>
      <c r="I87" s="7">
        <f t="shared" si="4"/>
        <v>105900</v>
      </c>
      <c r="J87" s="8"/>
      <c r="K87" s="9"/>
      <c r="L87" s="8"/>
      <c r="M87" s="9"/>
      <c r="N87" s="8"/>
      <c r="O87" s="9"/>
      <c r="P87" s="8"/>
      <c r="Q87" s="9"/>
      <c r="R87" s="10">
        <v>105900</v>
      </c>
    </row>
    <row r="88" spans="1:18" x14ac:dyDescent="0.25">
      <c r="A88" s="15" t="s">
        <v>103</v>
      </c>
      <c r="B88" s="10">
        <v>814865</v>
      </c>
      <c r="D88">
        <f t="shared" si="5"/>
        <v>814865</v>
      </c>
      <c r="E88" s="17">
        <f t="shared" si="6"/>
        <v>0</v>
      </c>
      <c r="G88" s="5" t="s">
        <v>41</v>
      </c>
      <c r="H88" s="11" t="s">
        <v>99</v>
      </c>
      <c r="I88" s="7">
        <f t="shared" si="4"/>
        <v>823063</v>
      </c>
      <c r="J88" s="8"/>
      <c r="K88" s="9"/>
      <c r="L88" s="8"/>
      <c r="M88" s="9"/>
      <c r="N88" s="8"/>
      <c r="O88" s="9"/>
      <c r="P88" s="8"/>
      <c r="Q88" s="9"/>
      <c r="R88" s="10">
        <v>823063</v>
      </c>
    </row>
    <row r="89" spans="1:18" x14ac:dyDescent="0.25">
      <c r="A89" s="15" t="s">
        <v>104</v>
      </c>
      <c r="B89" s="10">
        <v>66000</v>
      </c>
      <c r="D89">
        <f t="shared" si="5"/>
        <v>66000</v>
      </c>
      <c r="E89" s="17">
        <f t="shared" si="6"/>
        <v>0</v>
      </c>
      <c r="G89" s="5" t="s">
        <v>41</v>
      </c>
      <c r="H89" s="11" t="s">
        <v>100</v>
      </c>
      <c r="I89" s="7">
        <f t="shared" si="4"/>
        <v>786840</v>
      </c>
      <c r="J89" s="8"/>
      <c r="K89" s="9"/>
      <c r="L89" s="8"/>
      <c r="M89" s="9"/>
      <c r="N89" s="8"/>
      <c r="O89" s="9"/>
      <c r="P89" s="8"/>
      <c r="Q89" s="9"/>
      <c r="R89" s="10">
        <v>786840</v>
      </c>
    </row>
    <row r="90" spans="1:18" x14ac:dyDescent="0.25">
      <c r="A90" s="15" t="s">
        <v>105</v>
      </c>
      <c r="B90" s="10">
        <v>12375</v>
      </c>
      <c r="D90">
        <f t="shared" si="5"/>
        <v>12375</v>
      </c>
      <c r="E90" s="17">
        <f t="shared" si="6"/>
        <v>0</v>
      </c>
      <c r="G90" s="5" t="s">
        <v>41</v>
      </c>
      <c r="H90" s="11" t="s">
        <v>101</v>
      </c>
      <c r="I90" s="7">
        <f t="shared" si="4"/>
        <v>34169.68</v>
      </c>
      <c r="J90" s="8"/>
      <c r="K90" s="9"/>
      <c r="L90" s="8"/>
      <c r="M90" s="9"/>
      <c r="N90" s="8"/>
      <c r="O90" s="9"/>
      <c r="P90" s="8"/>
      <c r="Q90" s="9"/>
      <c r="R90" s="10">
        <v>34169.68</v>
      </c>
    </row>
    <row r="91" spans="1:18" x14ac:dyDescent="0.25">
      <c r="A91" s="15" t="s">
        <v>106</v>
      </c>
      <c r="B91" s="10">
        <v>6510</v>
      </c>
      <c r="D91">
        <f t="shared" si="5"/>
        <v>6510</v>
      </c>
      <c r="E91" s="17">
        <f t="shared" si="6"/>
        <v>0</v>
      </c>
      <c r="G91" s="5" t="s">
        <v>41</v>
      </c>
      <c r="H91" s="11" t="s">
        <v>102</v>
      </c>
      <c r="I91" s="7">
        <f t="shared" si="4"/>
        <v>92625</v>
      </c>
      <c r="J91" s="8"/>
      <c r="K91" s="9"/>
      <c r="L91" s="8"/>
      <c r="M91" s="9"/>
      <c r="N91" s="8"/>
      <c r="O91" s="9"/>
      <c r="P91" s="8"/>
      <c r="Q91" s="9"/>
      <c r="R91" s="10">
        <v>92625</v>
      </c>
    </row>
    <row r="92" spans="1:18" x14ac:dyDescent="0.25">
      <c r="A92" s="15" t="s">
        <v>107</v>
      </c>
      <c r="B92" s="10">
        <v>1366469</v>
      </c>
      <c r="D92">
        <f t="shared" si="5"/>
        <v>1366469</v>
      </c>
      <c r="E92" s="17">
        <f t="shared" si="6"/>
        <v>0</v>
      </c>
      <c r="G92" s="5" t="s">
        <v>41</v>
      </c>
      <c r="H92" s="11" t="s">
        <v>103</v>
      </c>
      <c r="I92" s="7">
        <f t="shared" si="4"/>
        <v>814865</v>
      </c>
      <c r="J92" s="8"/>
      <c r="K92" s="9"/>
      <c r="L92" s="8"/>
      <c r="M92" s="9"/>
      <c r="N92" s="8"/>
      <c r="O92" s="9"/>
      <c r="P92" s="8"/>
      <c r="Q92" s="9"/>
      <c r="R92" s="10">
        <v>814865</v>
      </c>
    </row>
    <row r="93" spans="1:18" x14ac:dyDescent="0.25">
      <c r="A93" s="15" t="s">
        <v>108</v>
      </c>
      <c r="B93" s="10">
        <v>30300</v>
      </c>
      <c r="D93">
        <f t="shared" si="5"/>
        <v>30300</v>
      </c>
      <c r="E93" s="17">
        <f t="shared" si="6"/>
        <v>0</v>
      </c>
      <c r="G93" s="5" t="s">
        <v>41</v>
      </c>
      <c r="H93" s="11" t="s">
        <v>104</v>
      </c>
      <c r="I93" s="7">
        <f t="shared" si="4"/>
        <v>66000</v>
      </c>
      <c r="J93" s="8"/>
      <c r="K93" s="9"/>
      <c r="L93" s="8"/>
      <c r="M93" s="9"/>
      <c r="N93" s="8"/>
      <c r="O93" s="7">
        <v>63900</v>
      </c>
      <c r="P93" s="10">
        <v>2100</v>
      </c>
      <c r="Q93" s="9"/>
      <c r="R93" s="8"/>
    </row>
    <row r="94" spans="1:18" x14ac:dyDescent="0.25">
      <c r="A94" s="15" t="s">
        <v>109</v>
      </c>
      <c r="B94" s="10">
        <v>10495</v>
      </c>
      <c r="D94">
        <f t="shared" si="5"/>
        <v>10495</v>
      </c>
      <c r="E94" s="17">
        <f t="shared" si="6"/>
        <v>0</v>
      </c>
      <c r="G94" s="5" t="s">
        <v>41</v>
      </c>
      <c r="H94" s="11" t="s">
        <v>105</v>
      </c>
      <c r="I94" s="7">
        <f t="shared" si="4"/>
        <v>12375</v>
      </c>
      <c r="J94" s="8"/>
      <c r="K94" s="9"/>
      <c r="L94" s="8"/>
      <c r="M94" s="9"/>
      <c r="N94" s="8"/>
      <c r="O94" s="9"/>
      <c r="P94" s="8"/>
      <c r="Q94" s="7">
        <v>12375</v>
      </c>
      <c r="R94" s="8"/>
    </row>
    <row r="95" spans="1:18" x14ac:dyDescent="0.25">
      <c r="A95" s="15" t="s">
        <v>110</v>
      </c>
      <c r="B95" s="10">
        <v>349514</v>
      </c>
      <c r="D95">
        <f t="shared" si="5"/>
        <v>349514</v>
      </c>
      <c r="E95" s="17">
        <f t="shared" si="6"/>
        <v>0</v>
      </c>
      <c r="G95" s="5" t="s">
        <v>41</v>
      </c>
      <c r="H95" s="11" t="s">
        <v>106</v>
      </c>
      <c r="I95" s="7">
        <f t="shared" si="4"/>
        <v>6510</v>
      </c>
      <c r="J95" s="8"/>
      <c r="K95" s="9"/>
      <c r="L95" s="8"/>
      <c r="M95" s="9"/>
      <c r="N95" s="8"/>
      <c r="O95" s="9"/>
      <c r="P95" s="8"/>
      <c r="Q95" s="9"/>
      <c r="R95" s="10">
        <v>6510</v>
      </c>
    </row>
    <row r="96" spans="1:18" x14ac:dyDescent="0.25">
      <c r="A96" s="15" t="s">
        <v>34</v>
      </c>
      <c r="B96" s="10">
        <v>2060</v>
      </c>
      <c r="D96">
        <f t="shared" si="5"/>
        <v>2060</v>
      </c>
      <c r="E96" s="17">
        <f t="shared" si="6"/>
        <v>0</v>
      </c>
      <c r="G96" s="5" t="s">
        <v>41</v>
      </c>
      <c r="H96" s="11" t="s">
        <v>107</v>
      </c>
      <c r="I96" s="7">
        <f t="shared" si="4"/>
        <v>1366469</v>
      </c>
      <c r="J96" s="8"/>
      <c r="K96" s="9"/>
      <c r="L96" s="8"/>
      <c r="M96" s="9"/>
      <c r="N96" s="8"/>
      <c r="O96" s="9"/>
      <c r="P96" s="8"/>
      <c r="Q96" s="9"/>
      <c r="R96" s="10">
        <v>1366469</v>
      </c>
    </row>
    <row r="97" spans="1:20" x14ac:dyDescent="0.25">
      <c r="A97" s="15" t="s">
        <v>35</v>
      </c>
      <c r="B97" s="10">
        <v>7705</v>
      </c>
      <c r="D97">
        <f t="shared" si="5"/>
        <v>7705</v>
      </c>
      <c r="E97" s="17">
        <f t="shared" si="6"/>
        <v>0</v>
      </c>
      <c r="G97" s="5" t="s">
        <v>41</v>
      </c>
      <c r="H97" s="11" t="s">
        <v>108</v>
      </c>
      <c r="I97" s="7">
        <f t="shared" si="4"/>
        <v>30300</v>
      </c>
      <c r="J97" s="8"/>
      <c r="K97" s="9"/>
      <c r="L97" s="8"/>
      <c r="M97" s="9"/>
      <c r="N97" s="8"/>
      <c r="O97" s="9"/>
      <c r="P97" s="8"/>
      <c r="Q97" s="9"/>
      <c r="R97" s="10">
        <v>30300</v>
      </c>
    </row>
    <row r="98" spans="1:20" x14ac:dyDescent="0.25">
      <c r="A98" s="15" t="s">
        <v>36</v>
      </c>
      <c r="B98" s="10">
        <v>2025</v>
      </c>
      <c r="D98">
        <f t="shared" ref="D98:D105" si="7">VLOOKUP(A98,$H$2:$I$105,2,0)</f>
        <v>2025</v>
      </c>
      <c r="E98" s="17">
        <f t="shared" si="6"/>
        <v>0</v>
      </c>
      <c r="G98" s="5" t="s">
        <v>41</v>
      </c>
      <c r="H98" s="11" t="s">
        <v>109</v>
      </c>
      <c r="I98" s="7">
        <f t="shared" si="4"/>
        <v>10495</v>
      </c>
      <c r="J98" s="8"/>
      <c r="K98" s="9"/>
      <c r="L98" s="8"/>
      <c r="M98" s="9"/>
      <c r="N98" s="8"/>
      <c r="O98" s="9"/>
      <c r="P98" s="10">
        <v>2580</v>
      </c>
      <c r="Q98" s="7">
        <v>7915</v>
      </c>
      <c r="R98" s="8"/>
    </row>
    <row r="99" spans="1:20" x14ac:dyDescent="0.25">
      <c r="A99" s="15" t="s">
        <v>111</v>
      </c>
      <c r="B99" s="10">
        <v>2320224</v>
      </c>
      <c r="D99">
        <f t="shared" si="7"/>
        <v>2320224</v>
      </c>
      <c r="E99" s="17">
        <f t="shared" si="6"/>
        <v>0</v>
      </c>
      <c r="G99" s="5" t="s">
        <v>41</v>
      </c>
      <c r="H99" s="11" t="s">
        <v>110</v>
      </c>
      <c r="I99" s="7">
        <f t="shared" si="4"/>
        <v>349514</v>
      </c>
      <c r="J99" s="8"/>
      <c r="K99" s="9"/>
      <c r="L99" s="8"/>
      <c r="M99" s="9"/>
      <c r="N99" s="8"/>
      <c r="O99" s="9"/>
      <c r="P99" s="8"/>
      <c r="Q99" s="7">
        <v>349514</v>
      </c>
      <c r="R99" s="8"/>
    </row>
    <row r="100" spans="1:20" x14ac:dyDescent="0.25">
      <c r="A100" s="15" t="s">
        <v>112</v>
      </c>
      <c r="B100" s="10">
        <v>140880</v>
      </c>
      <c r="D100">
        <f t="shared" si="7"/>
        <v>140880</v>
      </c>
      <c r="E100" s="17">
        <f t="shared" si="6"/>
        <v>0</v>
      </c>
      <c r="G100" s="5" t="s">
        <v>41</v>
      </c>
      <c r="H100" s="11" t="s">
        <v>111</v>
      </c>
      <c r="I100" s="7">
        <f t="shared" si="4"/>
        <v>2320224</v>
      </c>
      <c r="J100" s="8"/>
      <c r="K100" s="9"/>
      <c r="L100" s="8"/>
      <c r="M100" s="9"/>
      <c r="N100" s="8"/>
      <c r="O100" s="9"/>
      <c r="P100" s="8"/>
      <c r="Q100" s="9"/>
      <c r="R100" s="10">
        <v>2320224</v>
      </c>
    </row>
    <row r="101" spans="1:20" x14ac:dyDescent="0.25">
      <c r="A101" s="15" t="s">
        <v>37</v>
      </c>
      <c r="B101" s="10">
        <v>13775</v>
      </c>
      <c r="D101">
        <f t="shared" si="7"/>
        <v>13775</v>
      </c>
      <c r="E101" s="17">
        <f t="shared" si="6"/>
        <v>0</v>
      </c>
      <c r="G101" s="5" t="s">
        <v>41</v>
      </c>
      <c r="H101" s="11" t="s">
        <v>112</v>
      </c>
      <c r="I101" s="7">
        <f t="shared" si="4"/>
        <v>140880</v>
      </c>
      <c r="J101" s="8"/>
      <c r="K101" s="9"/>
      <c r="L101" s="8"/>
      <c r="M101" s="9"/>
      <c r="N101" s="8"/>
      <c r="O101" s="9"/>
      <c r="P101" s="8"/>
      <c r="Q101" s="9"/>
      <c r="R101" s="10">
        <v>140880</v>
      </c>
    </row>
    <row r="102" spans="1:20" x14ac:dyDescent="0.25">
      <c r="A102" s="15" t="s">
        <v>113</v>
      </c>
      <c r="B102" s="10">
        <v>1550</v>
      </c>
      <c r="D102">
        <f t="shared" si="7"/>
        <v>1550</v>
      </c>
      <c r="E102" s="17">
        <f t="shared" si="6"/>
        <v>0</v>
      </c>
      <c r="G102" s="5" t="s">
        <v>41</v>
      </c>
      <c r="H102" s="11" t="s">
        <v>113</v>
      </c>
      <c r="I102" s="7">
        <f t="shared" si="4"/>
        <v>1550</v>
      </c>
      <c r="J102" s="8"/>
      <c r="K102" s="9"/>
      <c r="L102" s="8"/>
      <c r="M102" s="9"/>
      <c r="N102" s="8"/>
      <c r="O102" s="9"/>
      <c r="P102" s="8"/>
      <c r="Q102" s="7">
        <v>1550</v>
      </c>
      <c r="R102" s="8"/>
    </row>
    <row r="103" spans="1:20" x14ac:dyDescent="0.25">
      <c r="A103" s="15" t="s">
        <v>38</v>
      </c>
      <c r="B103" s="10">
        <v>5928</v>
      </c>
      <c r="D103">
        <f t="shared" si="7"/>
        <v>5928</v>
      </c>
      <c r="E103" s="17">
        <f t="shared" si="6"/>
        <v>0</v>
      </c>
      <c r="G103" s="5" t="s">
        <v>116</v>
      </c>
      <c r="H103" s="11" t="s">
        <v>117</v>
      </c>
      <c r="I103" s="7">
        <f t="shared" si="4"/>
        <v>5950</v>
      </c>
      <c r="J103" s="8"/>
      <c r="K103" s="7">
        <v>5950</v>
      </c>
      <c r="L103" s="8"/>
      <c r="M103" s="9"/>
      <c r="N103" s="8"/>
      <c r="O103" s="9"/>
      <c r="P103" s="8"/>
      <c r="Q103" s="9"/>
      <c r="R103" s="8"/>
    </row>
    <row r="104" spans="1:20" x14ac:dyDescent="0.25">
      <c r="A104" s="15" t="s">
        <v>39</v>
      </c>
      <c r="B104" s="10">
        <v>2345</v>
      </c>
      <c r="D104">
        <f t="shared" si="7"/>
        <v>2345</v>
      </c>
      <c r="E104" s="17">
        <f t="shared" si="6"/>
        <v>0</v>
      </c>
      <c r="G104" s="5" t="s">
        <v>118</v>
      </c>
      <c r="H104" s="11" t="s">
        <v>119</v>
      </c>
      <c r="I104" s="7">
        <f t="shared" si="4"/>
        <v>6650</v>
      </c>
      <c r="J104" s="8"/>
      <c r="K104" s="9"/>
      <c r="L104" s="8"/>
      <c r="M104" s="9"/>
      <c r="N104" s="8"/>
      <c r="O104" s="9"/>
      <c r="P104" s="8"/>
      <c r="Q104" s="9"/>
      <c r="R104" s="10">
        <v>6650</v>
      </c>
    </row>
    <row r="105" spans="1:20" x14ac:dyDescent="0.25">
      <c r="A105" s="15" t="s">
        <v>40</v>
      </c>
      <c r="B105" s="10">
        <v>605</v>
      </c>
      <c r="D105">
        <f t="shared" si="7"/>
        <v>605</v>
      </c>
      <c r="E105" s="17">
        <f t="shared" si="6"/>
        <v>0</v>
      </c>
      <c r="G105" s="5" t="s">
        <v>118</v>
      </c>
      <c r="H105" s="11" t="s">
        <v>120</v>
      </c>
      <c r="I105" s="7">
        <f t="shared" si="4"/>
        <v>436800</v>
      </c>
      <c r="J105" s="8"/>
      <c r="K105" s="9"/>
      <c r="L105" s="8"/>
      <c r="M105" s="9"/>
      <c r="N105" s="8"/>
      <c r="O105" s="9"/>
      <c r="P105" s="8"/>
      <c r="Q105" s="9"/>
      <c r="R105" s="10">
        <v>436800</v>
      </c>
    </row>
    <row r="106" spans="1:20" x14ac:dyDescent="0.25">
      <c r="A106" s="3" t="s">
        <v>121</v>
      </c>
      <c r="B106" s="13">
        <f>SUM(B2:B105)</f>
        <v>40037036.109999999</v>
      </c>
      <c r="C106" s="13">
        <f t="shared" ref="C106:E106" si="8">SUM(C2:C105)</f>
        <v>0</v>
      </c>
      <c r="D106" s="13">
        <f t="shared" si="8"/>
        <v>40037036.109999999</v>
      </c>
      <c r="E106" s="13">
        <f t="shared" si="8"/>
        <v>0</v>
      </c>
      <c r="G106" s="12"/>
      <c r="H106" s="3" t="s">
        <v>121</v>
      </c>
      <c r="I106" s="13">
        <f>SUM(I2:I105)</f>
        <v>40037036.109999999</v>
      </c>
      <c r="J106" s="13">
        <f t="shared" ref="J106:R106" si="9">SUM(J2:J105)</f>
        <v>1180298</v>
      </c>
      <c r="K106" s="13">
        <f t="shared" si="9"/>
        <v>1538030</v>
      </c>
      <c r="L106" s="13">
        <f t="shared" si="9"/>
        <v>1361530</v>
      </c>
      <c r="M106" s="13">
        <f t="shared" si="9"/>
        <v>977465</v>
      </c>
      <c r="N106" s="13">
        <f t="shared" si="9"/>
        <v>1220507</v>
      </c>
      <c r="O106" s="13">
        <f t="shared" si="9"/>
        <v>1983263</v>
      </c>
      <c r="P106" s="13">
        <f t="shared" si="9"/>
        <v>1394470.52</v>
      </c>
      <c r="Q106" s="13">
        <f t="shared" si="9"/>
        <v>1316199</v>
      </c>
      <c r="R106" s="13">
        <f t="shared" si="9"/>
        <v>29065273.59</v>
      </c>
      <c r="S106" s="16">
        <f>SUM(J106:R106)</f>
        <v>40037036.109999999</v>
      </c>
      <c r="T106" s="18">
        <f>+I106-S106</f>
        <v>0</v>
      </c>
    </row>
    <row r="107" spans="1:20" x14ac:dyDescent="0.25">
      <c r="D107" s="18"/>
      <c r="I107" s="18">
        <f>+I106-B106</f>
        <v>0</v>
      </c>
    </row>
    <row r="108" spans="1:20" x14ac:dyDescent="0.25">
      <c r="A108" s="3" t="s">
        <v>159</v>
      </c>
      <c r="B108" s="2" t="s">
        <v>10</v>
      </c>
      <c r="G108" s="12" t="s">
        <v>122</v>
      </c>
      <c r="H108" s="3" t="s">
        <v>124</v>
      </c>
      <c r="I108" s="5" t="s">
        <v>0</v>
      </c>
      <c r="J108" s="5" t="s">
        <v>1</v>
      </c>
      <c r="K108" s="5" t="s">
        <v>2</v>
      </c>
      <c r="L108" s="5" t="s">
        <v>3</v>
      </c>
      <c r="M108" s="4" t="s">
        <v>4</v>
      </c>
      <c r="N108" s="4" t="s">
        <v>5</v>
      </c>
      <c r="O108" s="4" t="s">
        <v>6</v>
      </c>
      <c r="P108" s="4" t="s">
        <v>7</v>
      </c>
      <c r="Q108" s="4" t="s">
        <v>8</v>
      </c>
      <c r="R108" s="4" t="s">
        <v>9</v>
      </c>
    </row>
    <row r="109" spans="1:20" x14ac:dyDescent="0.25">
      <c r="A109" s="15" t="s">
        <v>125</v>
      </c>
      <c r="B109" s="10">
        <v>59400</v>
      </c>
      <c r="D109">
        <f t="shared" ref="D109:D144" si="10">VLOOKUP(A109,$H$109:$I$144,2,0)</f>
        <v>59400</v>
      </c>
      <c r="E109" s="17">
        <f t="shared" ref="E109:E144" si="11">+B109-D109</f>
        <v>0</v>
      </c>
      <c r="G109" s="5" t="s">
        <v>11</v>
      </c>
      <c r="H109" s="11" t="s">
        <v>125</v>
      </c>
      <c r="I109" s="7">
        <f>SUM(J109:R109)</f>
        <v>59400</v>
      </c>
      <c r="J109" s="8"/>
      <c r="K109" s="9"/>
      <c r="L109" s="10">
        <v>45000</v>
      </c>
      <c r="M109" s="7">
        <v>14400</v>
      </c>
      <c r="N109" s="8"/>
      <c r="O109" s="9"/>
      <c r="P109" s="8"/>
      <c r="Q109" s="9"/>
      <c r="R109" s="8"/>
    </row>
    <row r="110" spans="1:20" x14ac:dyDescent="0.25">
      <c r="A110" s="15" t="s">
        <v>132</v>
      </c>
      <c r="B110" s="10">
        <v>121200</v>
      </c>
      <c r="D110">
        <f t="shared" si="10"/>
        <v>121200</v>
      </c>
      <c r="E110" s="17">
        <f t="shared" si="11"/>
        <v>0</v>
      </c>
      <c r="G110" s="5" t="s">
        <v>11</v>
      </c>
      <c r="H110" s="11" t="s">
        <v>126</v>
      </c>
      <c r="I110" s="7">
        <f t="shared" ref="I110:I144" si="12">SUM(J110:R110)</f>
        <v>133500</v>
      </c>
      <c r="J110" s="10">
        <v>133500</v>
      </c>
      <c r="K110" s="9"/>
      <c r="L110" s="8"/>
      <c r="M110" s="9"/>
      <c r="N110" s="8"/>
      <c r="O110" s="9"/>
      <c r="P110" s="8"/>
      <c r="Q110" s="9"/>
      <c r="R110" s="8"/>
    </row>
    <row r="111" spans="1:20" x14ac:dyDescent="0.25">
      <c r="A111" s="15" t="s">
        <v>133</v>
      </c>
      <c r="B111" s="10">
        <v>32650</v>
      </c>
      <c r="D111">
        <f t="shared" si="10"/>
        <v>32650</v>
      </c>
      <c r="E111" s="17">
        <f t="shared" si="11"/>
        <v>0</v>
      </c>
      <c r="G111" s="5" t="s">
        <v>11</v>
      </c>
      <c r="H111" s="11" t="s">
        <v>127</v>
      </c>
      <c r="I111" s="7">
        <f t="shared" si="12"/>
        <v>21500</v>
      </c>
      <c r="J111" s="8"/>
      <c r="K111" s="9"/>
      <c r="L111" s="8"/>
      <c r="M111" s="9"/>
      <c r="N111" s="8"/>
      <c r="O111" s="7">
        <v>21500</v>
      </c>
      <c r="P111" s="8"/>
      <c r="Q111" s="9"/>
      <c r="R111" s="8"/>
    </row>
    <row r="112" spans="1:20" x14ac:dyDescent="0.25">
      <c r="A112" s="15" t="s">
        <v>152</v>
      </c>
      <c r="B112" s="10">
        <v>4550</v>
      </c>
      <c r="D112">
        <f t="shared" si="10"/>
        <v>4550</v>
      </c>
      <c r="E112" s="17">
        <f t="shared" si="11"/>
        <v>0</v>
      </c>
      <c r="G112" s="5" t="s">
        <v>11</v>
      </c>
      <c r="H112" s="11" t="s">
        <v>128</v>
      </c>
      <c r="I112" s="7">
        <f t="shared" si="12"/>
        <v>92049</v>
      </c>
      <c r="J112" s="10">
        <v>68250</v>
      </c>
      <c r="K112" s="9"/>
      <c r="L112" s="8"/>
      <c r="M112" s="7">
        <v>23799</v>
      </c>
      <c r="N112" s="8"/>
      <c r="O112" s="9"/>
      <c r="P112" s="8"/>
      <c r="Q112" s="9"/>
      <c r="R112" s="8"/>
    </row>
    <row r="113" spans="1:18" x14ac:dyDescent="0.25">
      <c r="A113" s="15" t="s">
        <v>126</v>
      </c>
      <c r="B113" s="10">
        <v>133500</v>
      </c>
      <c r="D113">
        <f t="shared" si="10"/>
        <v>133500</v>
      </c>
      <c r="E113" s="17">
        <f t="shared" si="11"/>
        <v>0</v>
      </c>
      <c r="G113" s="5" t="s">
        <v>11</v>
      </c>
      <c r="H113" s="11" t="s">
        <v>129</v>
      </c>
      <c r="I113" s="7">
        <f t="shared" si="12"/>
        <v>29400</v>
      </c>
      <c r="J113" s="10">
        <v>29400</v>
      </c>
      <c r="K113" s="9"/>
      <c r="L113" s="8"/>
      <c r="M113" s="9"/>
      <c r="N113" s="8"/>
      <c r="O113" s="9"/>
      <c r="P113" s="8"/>
      <c r="Q113" s="9"/>
      <c r="R113" s="8"/>
    </row>
    <row r="114" spans="1:18" x14ac:dyDescent="0.25">
      <c r="A114" s="15" t="s">
        <v>153</v>
      </c>
      <c r="B114" s="10">
        <v>12300</v>
      </c>
      <c r="D114">
        <f t="shared" si="10"/>
        <v>12300</v>
      </c>
      <c r="E114" s="17">
        <f t="shared" si="11"/>
        <v>0</v>
      </c>
      <c r="G114" s="5" t="s">
        <v>11</v>
      </c>
      <c r="H114" s="11" t="s">
        <v>130</v>
      </c>
      <c r="I114" s="7">
        <f t="shared" si="12"/>
        <v>842606</v>
      </c>
      <c r="J114" s="8"/>
      <c r="K114" s="7">
        <v>842606</v>
      </c>
      <c r="L114" s="8"/>
      <c r="M114" s="9"/>
      <c r="N114" s="8"/>
      <c r="O114" s="9"/>
      <c r="P114" s="8"/>
      <c r="Q114" s="9"/>
      <c r="R114" s="8"/>
    </row>
    <row r="115" spans="1:18" x14ac:dyDescent="0.25">
      <c r="A115" s="15" t="s">
        <v>127</v>
      </c>
      <c r="B115" s="10">
        <v>21500</v>
      </c>
      <c r="D115">
        <f t="shared" si="10"/>
        <v>21500</v>
      </c>
      <c r="E115" s="17">
        <f t="shared" si="11"/>
        <v>0</v>
      </c>
      <c r="G115" s="5" t="s">
        <v>11</v>
      </c>
      <c r="H115" s="11" t="s">
        <v>131</v>
      </c>
      <c r="I115" s="7">
        <f t="shared" si="12"/>
        <v>24151</v>
      </c>
      <c r="J115" s="8"/>
      <c r="K115" s="9"/>
      <c r="L115" s="8"/>
      <c r="M115" s="7">
        <v>24151</v>
      </c>
      <c r="N115" s="8"/>
      <c r="O115" s="9"/>
      <c r="P115" s="8"/>
      <c r="Q115" s="9"/>
      <c r="R115" s="8"/>
    </row>
    <row r="116" spans="1:18" x14ac:dyDescent="0.25">
      <c r="A116" s="15" t="s">
        <v>128</v>
      </c>
      <c r="B116" s="10">
        <v>92049</v>
      </c>
      <c r="D116">
        <f t="shared" si="10"/>
        <v>92049</v>
      </c>
      <c r="E116" s="17">
        <f t="shared" si="11"/>
        <v>0</v>
      </c>
      <c r="G116" s="5" t="s">
        <v>11</v>
      </c>
      <c r="H116" s="11" t="s">
        <v>106</v>
      </c>
      <c r="I116" s="7">
        <f t="shared" si="12"/>
        <v>1000</v>
      </c>
      <c r="J116" s="10">
        <v>1000</v>
      </c>
      <c r="K116" s="9"/>
      <c r="L116" s="8"/>
      <c r="M116" s="9"/>
      <c r="N116" s="8"/>
      <c r="O116" s="9"/>
      <c r="P116" s="8"/>
      <c r="Q116" s="9"/>
      <c r="R116" s="8"/>
    </row>
    <row r="117" spans="1:18" x14ac:dyDescent="0.25">
      <c r="A117" s="15" t="s">
        <v>154</v>
      </c>
      <c r="B117" s="10">
        <v>114750</v>
      </c>
      <c r="D117">
        <f t="shared" si="10"/>
        <v>114750</v>
      </c>
      <c r="E117" s="17">
        <f t="shared" si="11"/>
        <v>0</v>
      </c>
      <c r="G117" s="5" t="s">
        <v>41</v>
      </c>
      <c r="H117" s="11" t="s">
        <v>132</v>
      </c>
      <c r="I117" s="7">
        <f t="shared" si="12"/>
        <v>121200</v>
      </c>
      <c r="J117" s="8"/>
      <c r="K117" s="9"/>
      <c r="L117" s="8"/>
      <c r="M117" s="9"/>
      <c r="N117" s="8"/>
      <c r="O117" s="7">
        <v>121200</v>
      </c>
      <c r="P117" s="8"/>
      <c r="Q117" s="9"/>
      <c r="R117" s="8"/>
    </row>
    <row r="118" spans="1:18" x14ac:dyDescent="0.25">
      <c r="A118" s="15" t="s">
        <v>134</v>
      </c>
      <c r="B118" s="10">
        <v>94800</v>
      </c>
      <c r="D118">
        <f t="shared" si="10"/>
        <v>94800</v>
      </c>
      <c r="E118" s="17">
        <f t="shared" si="11"/>
        <v>0</v>
      </c>
      <c r="G118" s="5" t="s">
        <v>41</v>
      </c>
      <c r="H118" s="11" t="s">
        <v>133</v>
      </c>
      <c r="I118" s="7">
        <f t="shared" si="12"/>
        <v>32650</v>
      </c>
      <c r="J118" s="8"/>
      <c r="K118" s="9"/>
      <c r="L118" s="8"/>
      <c r="M118" s="9"/>
      <c r="N118" s="8"/>
      <c r="O118" s="9"/>
      <c r="P118" s="8"/>
      <c r="Q118" s="9"/>
      <c r="R118" s="10">
        <v>32650</v>
      </c>
    </row>
    <row r="119" spans="1:18" x14ac:dyDescent="0.25">
      <c r="A119" s="15" t="s">
        <v>129</v>
      </c>
      <c r="B119" s="10">
        <v>29400</v>
      </c>
      <c r="D119">
        <f t="shared" si="10"/>
        <v>29400</v>
      </c>
      <c r="E119" s="17">
        <f t="shared" si="11"/>
        <v>0</v>
      </c>
      <c r="G119" s="5" t="s">
        <v>41</v>
      </c>
      <c r="H119" s="11" t="s">
        <v>134</v>
      </c>
      <c r="I119" s="7">
        <f t="shared" si="12"/>
        <v>94800</v>
      </c>
      <c r="J119" s="8"/>
      <c r="K119" s="9"/>
      <c r="L119" s="8"/>
      <c r="M119" s="9"/>
      <c r="N119" s="8"/>
      <c r="O119" s="9"/>
      <c r="P119" s="8"/>
      <c r="Q119" s="9"/>
      <c r="R119" s="10">
        <v>94800</v>
      </c>
    </row>
    <row r="120" spans="1:18" x14ac:dyDescent="0.25">
      <c r="A120" s="15" t="s">
        <v>135</v>
      </c>
      <c r="B120" s="10">
        <v>138888</v>
      </c>
      <c r="D120">
        <f t="shared" si="10"/>
        <v>138888</v>
      </c>
      <c r="E120" s="17">
        <f t="shared" si="11"/>
        <v>0</v>
      </c>
      <c r="G120" s="5" t="s">
        <v>41</v>
      </c>
      <c r="H120" s="11" t="s">
        <v>135</v>
      </c>
      <c r="I120" s="7">
        <f t="shared" si="12"/>
        <v>138888</v>
      </c>
      <c r="J120" s="8"/>
      <c r="K120" s="9"/>
      <c r="L120" s="8"/>
      <c r="M120" s="9"/>
      <c r="N120" s="8"/>
      <c r="O120" s="9"/>
      <c r="P120" s="10">
        <v>138888</v>
      </c>
      <c r="Q120" s="9"/>
      <c r="R120" s="8"/>
    </row>
    <row r="121" spans="1:18" x14ac:dyDescent="0.25">
      <c r="A121" s="15" t="s">
        <v>21</v>
      </c>
      <c r="B121" s="10">
        <v>1700</v>
      </c>
      <c r="D121">
        <f t="shared" si="10"/>
        <v>1700</v>
      </c>
      <c r="E121" s="17">
        <f t="shared" si="11"/>
        <v>0</v>
      </c>
      <c r="G121" s="5" t="s">
        <v>41</v>
      </c>
      <c r="H121" s="11" t="s">
        <v>21</v>
      </c>
      <c r="I121" s="7">
        <f t="shared" si="12"/>
        <v>1700</v>
      </c>
      <c r="J121" s="8"/>
      <c r="K121" s="9"/>
      <c r="L121" s="8"/>
      <c r="M121" s="9"/>
      <c r="N121" s="8"/>
      <c r="O121" s="9"/>
      <c r="P121" s="8"/>
      <c r="Q121" s="7">
        <v>1700</v>
      </c>
      <c r="R121" s="8"/>
    </row>
    <row r="122" spans="1:18" x14ac:dyDescent="0.25">
      <c r="A122" s="15" t="s">
        <v>149</v>
      </c>
      <c r="B122" s="10">
        <v>1319600</v>
      </c>
      <c r="D122">
        <f t="shared" si="10"/>
        <v>1319600</v>
      </c>
      <c r="E122" s="17">
        <f t="shared" si="11"/>
        <v>0</v>
      </c>
      <c r="G122" s="5" t="s">
        <v>41</v>
      </c>
      <c r="H122" s="11" t="s">
        <v>136</v>
      </c>
      <c r="I122" s="7">
        <f t="shared" si="12"/>
        <v>455999</v>
      </c>
      <c r="J122" s="8"/>
      <c r="K122" s="9"/>
      <c r="L122" s="8"/>
      <c r="M122" s="9"/>
      <c r="N122" s="8"/>
      <c r="O122" s="9"/>
      <c r="P122" s="8"/>
      <c r="Q122" s="9"/>
      <c r="R122" s="10">
        <v>455999</v>
      </c>
    </row>
    <row r="123" spans="1:18" x14ac:dyDescent="0.25">
      <c r="A123" s="15" t="s">
        <v>136</v>
      </c>
      <c r="B123" s="10">
        <v>455999</v>
      </c>
      <c r="D123">
        <f t="shared" si="10"/>
        <v>455999</v>
      </c>
      <c r="E123" s="17">
        <f t="shared" si="11"/>
        <v>0</v>
      </c>
      <c r="G123" s="5" t="s">
        <v>41</v>
      </c>
      <c r="H123" s="11" t="s">
        <v>137</v>
      </c>
      <c r="I123" s="7">
        <f t="shared" si="12"/>
        <v>66297</v>
      </c>
      <c r="J123" s="8"/>
      <c r="K123" s="9"/>
      <c r="L123" s="8"/>
      <c r="M123" s="9"/>
      <c r="N123" s="8"/>
      <c r="O123" s="9"/>
      <c r="P123" s="8"/>
      <c r="Q123" s="9"/>
      <c r="R123" s="10">
        <v>66297</v>
      </c>
    </row>
    <row r="124" spans="1:18" x14ac:dyDescent="0.25">
      <c r="A124" s="15" t="s">
        <v>137</v>
      </c>
      <c r="B124" s="10">
        <v>66297</v>
      </c>
      <c r="D124">
        <f t="shared" si="10"/>
        <v>66297</v>
      </c>
      <c r="E124" s="17">
        <f t="shared" si="11"/>
        <v>0</v>
      </c>
      <c r="G124" s="5" t="s">
        <v>41</v>
      </c>
      <c r="H124" s="11" t="s">
        <v>138</v>
      </c>
      <c r="I124" s="7">
        <f t="shared" si="12"/>
        <v>347500</v>
      </c>
      <c r="J124" s="8"/>
      <c r="K124" s="9"/>
      <c r="L124" s="8"/>
      <c r="M124" s="9"/>
      <c r="N124" s="8"/>
      <c r="O124" s="9"/>
      <c r="P124" s="8"/>
      <c r="Q124" s="9"/>
      <c r="R124" s="10">
        <v>347500</v>
      </c>
    </row>
    <row r="125" spans="1:18" x14ac:dyDescent="0.25">
      <c r="A125" s="15" t="s">
        <v>155</v>
      </c>
      <c r="B125" s="10">
        <v>28025</v>
      </c>
      <c r="D125">
        <f t="shared" si="10"/>
        <v>28025</v>
      </c>
      <c r="E125" s="17">
        <f t="shared" si="11"/>
        <v>0</v>
      </c>
      <c r="G125" s="5" t="s">
        <v>41</v>
      </c>
      <c r="H125" s="11" t="s">
        <v>139</v>
      </c>
      <c r="I125" s="7">
        <f t="shared" si="12"/>
        <v>414295</v>
      </c>
      <c r="J125" s="8"/>
      <c r="K125" s="9"/>
      <c r="L125" s="8"/>
      <c r="M125" s="9"/>
      <c r="N125" s="8"/>
      <c r="O125" s="9"/>
      <c r="P125" s="8"/>
      <c r="Q125" s="9"/>
      <c r="R125" s="10">
        <v>414295</v>
      </c>
    </row>
    <row r="126" spans="1:18" x14ac:dyDescent="0.25">
      <c r="A126" s="15" t="s">
        <v>130</v>
      </c>
      <c r="B126" s="10">
        <v>842606</v>
      </c>
      <c r="D126">
        <f t="shared" si="10"/>
        <v>842606</v>
      </c>
      <c r="E126" s="17">
        <f t="shared" si="11"/>
        <v>0</v>
      </c>
      <c r="G126" s="5" t="s">
        <v>41</v>
      </c>
      <c r="H126" s="11" t="s">
        <v>140</v>
      </c>
      <c r="I126" s="7">
        <f t="shared" si="12"/>
        <v>94150</v>
      </c>
      <c r="J126" s="8"/>
      <c r="K126" s="9"/>
      <c r="L126" s="8"/>
      <c r="M126" s="9"/>
      <c r="N126" s="8"/>
      <c r="O126" s="9"/>
      <c r="P126" s="8"/>
      <c r="Q126" s="9"/>
      <c r="R126" s="10">
        <v>94150</v>
      </c>
    </row>
    <row r="127" spans="1:18" x14ac:dyDescent="0.25">
      <c r="A127" s="15" t="s">
        <v>138</v>
      </c>
      <c r="B127" s="10">
        <v>347500</v>
      </c>
      <c r="D127">
        <f t="shared" si="10"/>
        <v>347500</v>
      </c>
      <c r="E127" s="17">
        <f t="shared" si="11"/>
        <v>0</v>
      </c>
      <c r="G127" s="5" t="s">
        <v>41</v>
      </c>
      <c r="H127" s="11" t="s">
        <v>141</v>
      </c>
      <c r="I127" s="7">
        <f t="shared" si="12"/>
        <v>7750</v>
      </c>
      <c r="J127" s="8"/>
      <c r="K127" s="9"/>
      <c r="L127" s="8"/>
      <c r="M127" s="9"/>
      <c r="N127" s="8"/>
      <c r="O127" s="9"/>
      <c r="P127" s="8"/>
      <c r="Q127" s="9"/>
      <c r="R127" s="10">
        <v>7750</v>
      </c>
    </row>
    <row r="128" spans="1:18" x14ac:dyDescent="0.25">
      <c r="A128" s="15" t="s">
        <v>139</v>
      </c>
      <c r="B128" s="10">
        <v>414295</v>
      </c>
      <c r="D128">
        <f t="shared" si="10"/>
        <v>414295</v>
      </c>
      <c r="E128" s="17">
        <f t="shared" si="11"/>
        <v>0</v>
      </c>
      <c r="G128" s="5" t="s">
        <v>41</v>
      </c>
      <c r="H128" s="11" t="s">
        <v>142</v>
      </c>
      <c r="I128" s="7">
        <f t="shared" si="12"/>
        <v>56826</v>
      </c>
      <c r="J128" s="8"/>
      <c r="K128" s="9"/>
      <c r="L128" s="8"/>
      <c r="M128" s="9"/>
      <c r="N128" s="8"/>
      <c r="O128" s="9"/>
      <c r="P128" s="8"/>
      <c r="Q128" s="7">
        <v>56826</v>
      </c>
      <c r="R128" s="8"/>
    </row>
    <row r="129" spans="1:18" x14ac:dyDescent="0.25">
      <c r="A129" s="15" t="s">
        <v>140</v>
      </c>
      <c r="B129" s="10">
        <v>94150</v>
      </c>
      <c r="D129">
        <f t="shared" si="10"/>
        <v>94150</v>
      </c>
      <c r="E129" s="17">
        <f t="shared" si="11"/>
        <v>0</v>
      </c>
      <c r="G129" s="5" t="s">
        <v>41</v>
      </c>
      <c r="H129" s="11" t="s">
        <v>143</v>
      </c>
      <c r="I129" s="7">
        <f t="shared" si="12"/>
        <v>221525</v>
      </c>
      <c r="J129" s="8"/>
      <c r="K129" s="9"/>
      <c r="L129" s="8"/>
      <c r="M129" s="9"/>
      <c r="N129" s="8"/>
      <c r="O129" s="9"/>
      <c r="P129" s="8"/>
      <c r="Q129" s="9"/>
      <c r="R129" s="10">
        <v>221525</v>
      </c>
    </row>
    <row r="130" spans="1:18" x14ac:dyDescent="0.25">
      <c r="A130" s="15" t="s">
        <v>141</v>
      </c>
      <c r="B130" s="10">
        <v>7750</v>
      </c>
      <c r="D130">
        <f t="shared" si="10"/>
        <v>7750</v>
      </c>
      <c r="E130" s="17">
        <f t="shared" si="11"/>
        <v>0</v>
      </c>
      <c r="G130" s="5" t="s">
        <v>41</v>
      </c>
      <c r="H130" s="11" t="s">
        <v>144</v>
      </c>
      <c r="I130" s="7">
        <f t="shared" si="12"/>
        <v>39921.339999999997</v>
      </c>
      <c r="J130" s="8"/>
      <c r="K130" s="9"/>
      <c r="L130" s="8"/>
      <c r="M130" s="9"/>
      <c r="N130" s="8"/>
      <c r="O130" s="9"/>
      <c r="P130" s="10">
        <v>11250</v>
      </c>
      <c r="Q130" s="9"/>
      <c r="R130" s="10">
        <v>28671.34</v>
      </c>
    </row>
    <row r="131" spans="1:18" x14ac:dyDescent="0.25">
      <c r="A131" s="15" t="s">
        <v>142</v>
      </c>
      <c r="B131" s="10">
        <v>56826</v>
      </c>
      <c r="D131">
        <f t="shared" si="10"/>
        <v>56826</v>
      </c>
      <c r="E131" s="17">
        <f t="shared" si="11"/>
        <v>0</v>
      </c>
      <c r="G131" s="5" t="s">
        <v>41</v>
      </c>
      <c r="H131" s="11" t="s">
        <v>145</v>
      </c>
      <c r="I131" s="7">
        <f t="shared" si="12"/>
        <v>1679384</v>
      </c>
      <c r="J131" s="8"/>
      <c r="K131" s="9"/>
      <c r="L131" s="8"/>
      <c r="M131" s="9"/>
      <c r="N131" s="8"/>
      <c r="O131" s="9"/>
      <c r="P131" s="8"/>
      <c r="Q131" s="9"/>
      <c r="R131" s="10">
        <v>1679384</v>
      </c>
    </row>
    <row r="132" spans="1:18" x14ac:dyDescent="0.25">
      <c r="A132" s="15" t="s">
        <v>150</v>
      </c>
      <c r="B132" s="10">
        <v>342500</v>
      </c>
      <c r="D132">
        <f t="shared" si="10"/>
        <v>342500</v>
      </c>
      <c r="E132" s="17">
        <f t="shared" si="11"/>
        <v>0</v>
      </c>
      <c r="G132" s="5" t="s">
        <v>41</v>
      </c>
      <c r="H132" s="11" t="s">
        <v>146</v>
      </c>
      <c r="I132" s="7">
        <f t="shared" si="12"/>
        <v>34900</v>
      </c>
      <c r="J132" s="8"/>
      <c r="K132" s="9"/>
      <c r="L132" s="8"/>
      <c r="M132" s="9"/>
      <c r="N132" s="8"/>
      <c r="O132" s="9"/>
      <c r="P132" s="8"/>
      <c r="Q132" s="7">
        <v>4730</v>
      </c>
      <c r="R132" s="10">
        <v>30170</v>
      </c>
    </row>
    <row r="133" spans="1:18" x14ac:dyDescent="0.25">
      <c r="A133" s="15" t="s">
        <v>156</v>
      </c>
      <c r="B133" s="10">
        <v>18000</v>
      </c>
      <c r="D133">
        <f t="shared" si="10"/>
        <v>18000</v>
      </c>
      <c r="E133" s="17">
        <f t="shared" si="11"/>
        <v>0</v>
      </c>
      <c r="G133" s="5" t="s">
        <v>41</v>
      </c>
      <c r="H133" s="11" t="s">
        <v>110</v>
      </c>
      <c r="I133" s="7">
        <f t="shared" si="12"/>
        <v>91772</v>
      </c>
      <c r="J133" s="8"/>
      <c r="K133" s="9"/>
      <c r="L133" s="8"/>
      <c r="M133" s="9"/>
      <c r="N133" s="8"/>
      <c r="O133" s="9"/>
      <c r="P133" s="8"/>
      <c r="Q133" s="7">
        <v>272</v>
      </c>
      <c r="R133" s="10">
        <v>91500</v>
      </c>
    </row>
    <row r="134" spans="1:18" x14ac:dyDescent="0.25">
      <c r="A134" s="15" t="s">
        <v>143</v>
      </c>
      <c r="B134" s="10">
        <v>221525</v>
      </c>
      <c r="D134">
        <f t="shared" si="10"/>
        <v>221525</v>
      </c>
      <c r="E134" s="17">
        <f t="shared" si="11"/>
        <v>0</v>
      </c>
      <c r="G134" s="5" t="s">
        <v>147</v>
      </c>
      <c r="H134" s="11" t="s">
        <v>148</v>
      </c>
      <c r="I134" s="7">
        <f t="shared" si="12"/>
        <v>95</v>
      </c>
      <c r="J134" s="10">
        <v>95</v>
      </c>
      <c r="K134" s="9"/>
      <c r="L134" s="8"/>
      <c r="M134" s="9"/>
      <c r="N134" s="8"/>
      <c r="O134" s="9"/>
      <c r="P134" s="8"/>
      <c r="Q134" s="9"/>
      <c r="R134" s="8"/>
    </row>
    <row r="135" spans="1:18" x14ac:dyDescent="0.25">
      <c r="A135" s="15" t="s">
        <v>144</v>
      </c>
      <c r="B135" s="10">
        <v>39921.339999999997</v>
      </c>
      <c r="D135">
        <f t="shared" si="10"/>
        <v>39921.339999999997</v>
      </c>
      <c r="E135" s="17">
        <f t="shared" si="11"/>
        <v>0</v>
      </c>
      <c r="G135" s="5" t="s">
        <v>116</v>
      </c>
      <c r="H135" s="11" t="s">
        <v>149</v>
      </c>
      <c r="I135" s="7">
        <f t="shared" si="12"/>
        <v>1319600</v>
      </c>
      <c r="J135" s="10">
        <v>1316500</v>
      </c>
      <c r="K135" s="9"/>
      <c r="L135" s="10">
        <v>3100</v>
      </c>
      <c r="M135" s="9"/>
      <c r="N135" s="8"/>
      <c r="O135" s="9"/>
      <c r="P135" s="8"/>
      <c r="Q135" s="9"/>
      <c r="R135" s="8"/>
    </row>
    <row r="136" spans="1:18" x14ac:dyDescent="0.25">
      <c r="A136" s="15" t="s">
        <v>145</v>
      </c>
      <c r="B136" s="10">
        <v>1679384</v>
      </c>
      <c r="D136">
        <f t="shared" si="10"/>
        <v>1679384</v>
      </c>
      <c r="E136" s="17">
        <f t="shared" si="11"/>
        <v>0</v>
      </c>
      <c r="G136" s="5" t="s">
        <v>116</v>
      </c>
      <c r="H136" s="11" t="s">
        <v>150</v>
      </c>
      <c r="I136" s="7">
        <f t="shared" si="12"/>
        <v>342500</v>
      </c>
      <c r="J136" s="10">
        <v>342500</v>
      </c>
      <c r="K136" s="9"/>
      <c r="L136" s="8"/>
      <c r="M136" s="9"/>
      <c r="N136" s="8"/>
      <c r="O136" s="9"/>
      <c r="P136" s="8"/>
      <c r="Q136" s="9"/>
      <c r="R136" s="8"/>
    </row>
    <row r="137" spans="1:18" x14ac:dyDescent="0.25">
      <c r="A137" s="15" t="s">
        <v>131</v>
      </c>
      <c r="B137" s="10">
        <v>24151</v>
      </c>
      <c r="D137">
        <f t="shared" si="10"/>
        <v>24151</v>
      </c>
      <c r="E137" s="17">
        <f t="shared" si="11"/>
        <v>0</v>
      </c>
      <c r="G137" s="5" t="s">
        <v>116</v>
      </c>
      <c r="H137" s="11" t="s">
        <v>151</v>
      </c>
      <c r="I137" s="7">
        <f t="shared" si="12"/>
        <v>2801980.25</v>
      </c>
      <c r="J137" s="8"/>
      <c r="K137" s="9"/>
      <c r="L137" s="10">
        <v>77825</v>
      </c>
      <c r="M137" s="9"/>
      <c r="N137" s="8"/>
      <c r="O137" s="7">
        <v>468450</v>
      </c>
      <c r="P137" s="10">
        <v>1196972.25</v>
      </c>
      <c r="Q137" s="7">
        <v>1058733</v>
      </c>
      <c r="R137" s="8"/>
    </row>
    <row r="138" spans="1:18" x14ac:dyDescent="0.25">
      <c r="A138" s="15" t="s">
        <v>157</v>
      </c>
      <c r="B138" s="10">
        <v>309520</v>
      </c>
      <c r="D138">
        <f t="shared" si="10"/>
        <v>309520</v>
      </c>
      <c r="E138" s="17">
        <f t="shared" si="11"/>
        <v>0</v>
      </c>
      <c r="G138" s="5" t="s">
        <v>118</v>
      </c>
      <c r="H138" s="11" t="s">
        <v>152</v>
      </c>
      <c r="I138" s="7">
        <f t="shared" si="12"/>
        <v>4550</v>
      </c>
      <c r="J138" s="8"/>
      <c r="K138" s="9"/>
      <c r="L138" s="8"/>
      <c r="M138" s="9"/>
      <c r="N138" s="8"/>
      <c r="O138" s="9"/>
      <c r="P138" s="8"/>
      <c r="Q138" s="9"/>
      <c r="R138" s="10">
        <v>4550</v>
      </c>
    </row>
    <row r="139" spans="1:18" x14ac:dyDescent="0.25">
      <c r="A139" s="15" t="s">
        <v>106</v>
      </c>
      <c r="B139" s="10">
        <v>1000</v>
      </c>
      <c r="D139">
        <f t="shared" si="10"/>
        <v>1000</v>
      </c>
      <c r="E139" s="17">
        <f t="shared" si="11"/>
        <v>0</v>
      </c>
      <c r="G139" s="5" t="s">
        <v>118</v>
      </c>
      <c r="H139" s="11" t="s">
        <v>153</v>
      </c>
      <c r="I139" s="7">
        <f t="shared" si="12"/>
        <v>12300</v>
      </c>
      <c r="J139" s="8"/>
      <c r="K139" s="9"/>
      <c r="L139" s="8"/>
      <c r="M139" s="9"/>
      <c r="N139" s="8"/>
      <c r="O139" s="9"/>
      <c r="P139" s="8"/>
      <c r="Q139" s="9"/>
      <c r="R139" s="10">
        <v>12300</v>
      </c>
    </row>
    <row r="140" spans="1:18" x14ac:dyDescent="0.25">
      <c r="A140" s="15" t="s">
        <v>146</v>
      </c>
      <c r="B140" s="10">
        <v>34900</v>
      </c>
      <c r="D140">
        <f t="shared" si="10"/>
        <v>34900</v>
      </c>
      <c r="E140" s="17">
        <f t="shared" si="11"/>
        <v>0</v>
      </c>
      <c r="G140" s="5" t="s">
        <v>118</v>
      </c>
      <c r="H140" s="11" t="s">
        <v>154</v>
      </c>
      <c r="I140" s="7">
        <f t="shared" si="12"/>
        <v>114750</v>
      </c>
      <c r="J140" s="8"/>
      <c r="K140" s="9"/>
      <c r="L140" s="8"/>
      <c r="M140" s="9"/>
      <c r="N140" s="8"/>
      <c r="O140" s="9"/>
      <c r="P140" s="8"/>
      <c r="Q140" s="9"/>
      <c r="R140" s="10">
        <v>114750</v>
      </c>
    </row>
    <row r="141" spans="1:18" x14ac:dyDescent="0.25">
      <c r="A141" s="15" t="s">
        <v>151</v>
      </c>
      <c r="B141" s="10">
        <v>2801980.25</v>
      </c>
      <c r="D141">
        <f t="shared" si="10"/>
        <v>2801980.25</v>
      </c>
      <c r="E141" s="17">
        <f t="shared" si="11"/>
        <v>0</v>
      </c>
      <c r="G141" s="5" t="s">
        <v>118</v>
      </c>
      <c r="H141" s="11" t="s">
        <v>155</v>
      </c>
      <c r="I141" s="7">
        <f t="shared" si="12"/>
        <v>28025</v>
      </c>
      <c r="J141" s="8"/>
      <c r="K141" s="9"/>
      <c r="L141" s="8"/>
      <c r="M141" s="9"/>
      <c r="N141" s="8"/>
      <c r="O141" s="9"/>
      <c r="P141" s="8"/>
      <c r="Q141" s="9"/>
      <c r="R141" s="10">
        <v>28025</v>
      </c>
    </row>
    <row r="142" spans="1:18" x14ac:dyDescent="0.25">
      <c r="A142" s="15" t="s">
        <v>110</v>
      </c>
      <c r="B142" s="10">
        <v>91772</v>
      </c>
      <c r="D142">
        <f t="shared" si="10"/>
        <v>91772</v>
      </c>
      <c r="E142" s="17">
        <f t="shared" si="11"/>
        <v>0</v>
      </c>
      <c r="G142" s="5" t="s">
        <v>118</v>
      </c>
      <c r="H142" s="11" t="s">
        <v>156</v>
      </c>
      <c r="I142" s="7">
        <f t="shared" si="12"/>
        <v>18000</v>
      </c>
      <c r="J142" s="8"/>
      <c r="K142" s="9"/>
      <c r="L142" s="8"/>
      <c r="M142" s="9"/>
      <c r="N142" s="8"/>
      <c r="O142" s="9"/>
      <c r="P142" s="8"/>
      <c r="Q142" s="9"/>
      <c r="R142" s="10">
        <v>18000</v>
      </c>
    </row>
    <row r="143" spans="1:18" x14ac:dyDescent="0.25">
      <c r="A143" s="15" t="s">
        <v>148</v>
      </c>
      <c r="B143" s="10">
        <v>95</v>
      </c>
      <c r="D143">
        <f t="shared" si="10"/>
        <v>95</v>
      </c>
      <c r="E143" s="17">
        <f t="shared" si="11"/>
        <v>0</v>
      </c>
      <c r="G143" s="5" t="s">
        <v>118</v>
      </c>
      <c r="H143" s="11" t="s">
        <v>157</v>
      </c>
      <c r="I143" s="7">
        <f t="shared" si="12"/>
        <v>309520</v>
      </c>
      <c r="J143" s="8"/>
      <c r="K143" s="9"/>
      <c r="L143" s="8"/>
      <c r="M143" s="9"/>
      <c r="N143" s="8"/>
      <c r="O143" s="9"/>
      <c r="P143" s="8"/>
      <c r="Q143" s="9"/>
      <c r="R143" s="10">
        <v>309520</v>
      </c>
    </row>
    <row r="144" spans="1:18" x14ac:dyDescent="0.25">
      <c r="A144" s="15" t="s">
        <v>158</v>
      </c>
      <c r="B144" s="10">
        <v>6150</v>
      </c>
      <c r="D144">
        <f t="shared" si="10"/>
        <v>6150</v>
      </c>
      <c r="E144" s="17">
        <f t="shared" si="11"/>
        <v>0</v>
      </c>
      <c r="G144" s="5" t="s">
        <v>118</v>
      </c>
      <c r="H144" s="11" t="s">
        <v>158</v>
      </c>
      <c r="I144" s="7">
        <f t="shared" si="12"/>
        <v>6150</v>
      </c>
      <c r="J144" s="8"/>
      <c r="K144" s="9"/>
      <c r="L144" s="8"/>
      <c r="M144" s="9"/>
      <c r="N144" s="8"/>
      <c r="O144" s="9"/>
      <c r="P144" s="8"/>
      <c r="Q144" s="9"/>
      <c r="R144" s="10">
        <v>6150</v>
      </c>
    </row>
    <row r="145" spans="1:20" x14ac:dyDescent="0.25">
      <c r="A145" s="3" t="s">
        <v>121</v>
      </c>
      <c r="B145" s="13">
        <f>SUM(B109:B144)</f>
        <v>10060633.59</v>
      </c>
      <c r="D145" s="13">
        <f>SUM(D109:D144)</f>
        <v>10060633.59</v>
      </c>
      <c r="E145" s="13">
        <f>SUM(E109:E144)</f>
        <v>0</v>
      </c>
      <c r="G145" s="12"/>
      <c r="H145" s="3" t="s">
        <v>121</v>
      </c>
      <c r="I145" s="13">
        <f t="shared" ref="I145:R145" si="13">SUM(I109:I144)</f>
        <v>10060633.59</v>
      </c>
      <c r="J145" s="13">
        <f t="shared" si="13"/>
        <v>1891245</v>
      </c>
      <c r="K145" s="13">
        <f t="shared" si="13"/>
        <v>842606</v>
      </c>
      <c r="L145" s="13">
        <f t="shared" si="13"/>
        <v>125925</v>
      </c>
      <c r="M145" s="13">
        <f t="shared" si="13"/>
        <v>62350</v>
      </c>
      <c r="N145" s="13">
        <f t="shared" si="13"/>
        <v>0</v>
      </c>
      <c r="O145" s="13">
        <f t="shared" si="13"/>
        <v>611150</v>
      </c>
      <c r="P145" s="13">
        <f t="shared" si="13"/>
        <v>1347110.25</v>
      </c>
      <c r="Q145" s="13">
        <f t="shared" si="13"/>
        <v>1122261</v>
      </c>
      <c r="R145" s="13">
        <f t="shared" si="13"/>
        <v>4057986.34</v>
      </c>
      <c r="S145" s="16">
        <f>SUM(J145:R145)</f>
        <v>10060633.59</v>
      </c>
      <c r="T145" s="18">
        <f>+I145-S145</f>
        <v>0</v>
      </c>
    </row>
    <row r="146" spans="1:20" x14ac:dyDescent="0.25">
      <c r="D146" s="18"/>
    </row>
    <row r="147" spans="1:20" x14ac:dyDescent="0.25">
      <c r="A147" s="3" t="s">
        <v>160</v>
      </c>
      <c r="B147" s="2" t="s">
        <v>10</v>
      </c>
      <c r="G147" s="12" t="s">
        <v>122</v>
      </c>
      <c r="H147" s="3" t="s">
        <v>160</v>
      </c>
      <c r="I147" s="4" t="s">
        <v>0</v>
      </c>
      <c r="J147" s="4" t="s">
        <v>1</v>
      </c>
      <c r="K147" s="4" t="s">
        <v>2</v>
      </c>
      <c r="L147" s="4" t="s">
        <v>3</v>
      </c>
      <c r="M147" s="4" t="s">
        <v>4</v>
      </c>
      <c r="N147" s="4" t="s">
        <v>5</v>
      </c>
      <c r="O147" s="4" t="s">
        <v>6</v>
      </c>
      <c r="P147" s="4" t="s">
        <v>7</v>
      </c>
      <c r="Q147" s="4" t="s">
        <v>8</v>
      </c>
      <c r="R147" s="4" t="s">
        <v>9</v>
      </c>
    </row>
    <row r="148" spans="1:20" x14ac:dyDescent="0.25">
      <c r="A148" s="15" t="s">
        <v>161</v>
      </c>
      <c r="B148" s="10">
        <v>1635149.84</v>
      </c>
      <c r="D148">
        <f>VLOOKUP(A148,$H$148:$I$187,2,0)</f>
        <v>1635149.84</v>
      </c>
      <c r="E148" s="17">
        <f>+B148-D148</f>
        <v>0</v>
      </c>
      <c r="G148" s="5" t="s">
        <v>196</v>
      </c>
      <c r="H148" s="11" t="s">
        <v>179</v>
      </c>
      <c r="I148" s="7">
        <f>SUM(J148:R148)</f>
        <v>64450</v>
      </c>
      <c r="J148" s="8"/>
      <c r="K148" s="9"/>
      <c r="L148" s="8"/>
      <c r="M148" s="9"/>
      <c r="N148" s="10">
        <v>64450</v>
      </c>
      <c r="O148" s="9"/>
      <c r="P148" s="8"/>
      <c r="Q148" s="9"/>
      <c r="R148" s="8"/>
    </row>
    <row r="149" spans="1:20" x14ac:dyDescent="0.25">
      <c r="A149" s="15" t="s">
        <v>162</v>
      </c>
      <c r="B149" s="10">
        <v>236276.25</v>
      </c>
      <c r="D149">
        <f t="shared" ref="D149:D187" si="14">VLOOKUP(A149,$H$148:$I$187,2,0)</f>
        <v>236276.25</v>
      </c>
      <c r="E149" s="17">
        <f t="shared" ref="E149:E187" si="15">+B149-D149</f>
        <v>0</v>
      </c>
      <c r="G149" s="5" t="s">
        <v>11</v>
      </c>
      <c r="H149" s="11" t="s">
        <v>161</v>
      </c>
      <c r="I149" s="7">
        <f t="shared" ref="I149:I187" si="16">SUM(J149:R149)</f>
        <v>1635149.84</v>
      </c>
      <c r="J149" s="10">
        <v>67625</v>
      </c>
      <c r="K149" s="7">
        <v>153650</v>
      </c>
      <c r="L149" s="10">
        <v>316125</v>
      </c>
      <c r="M149" s="7">
        <v>171150</v>
      </c>
      <c r="N149" s="10">
        <v>715750</v>
      </c>
      <c r="O149" s="7">
        <v>210849.84</v>
      </c>
      <c r="P149" s="8"/>
      <c r="Q149" s="9"/>
      <c r="R149" s="8"/>
    </row>
    <row r="150" spans="1:20" x14ac:dyDescent="0.25">
      <c r="A150" s="15" t="s">
        <v>126</v>
      </c>
      <c r="B150" s="10">
        <v>4837099</v>
      </c>
      <c r="D150">
        <f t="shared" si="14"/>
        <v>4837099</v>
      </c>
      <c r="E150" s="17">
        <f t="shared" si="15"/>
        <v>0</v>
      </c>
      <c r="G150" s="5" t="s">
        <v>11</v>
      </c>
      <c r="H150" s="11" t="s">
        <v>126</v>
      </c>
      <c r="I150" s="7">
        <f t="shared" si="16"/>
        <v>4837099</v>
      </c>
      <c r="J150" s="10">
        <v>136500</v>
      </c>
      <c r="K150" s="7">
        <v>283620</v>
      </c>
      <c r="L150" s="10">
        <v>585945</v>
      </c>
      <c r="M150" s="7">
        <v>261600</v>
      </c>
      <c r="N150" s="10">
        <v>1262250</v>
      </c>
      <c r="O150" s="7">
        <v>1394260</v>
      </c>
      <c r="P150" s="10">
        <v>912924</v>
      </c>
      <c r="Q150" s="9"/>
      <c r="R150" s="8"/>
    </row>
    <row r="151" spans="1:20" x14ac:dyDescent="0.25">
      <c r="A151" s="15" t="s">
        <v>163</v>
      </c>
      <c r="B151" s="10">
        <v>125036</v>
      </c>
      <c r="D151">
        <f t="shared" si="14"/>
        <v>125036</v>
      </c>
      <c r="E151" s="17">
        <f t="shared" si="15"/>
        <v>0</v>
      </c>
      <c r="G151" s="5" t="s">
        <v>41</v>
      </c>
      <c r="H151" s="11" t="s">
        <v>162</v>
      </c>
      <c r="I151" s="7">
        <f t="shared" si="16"/>
        <v>236276.25</v>
      </c>
      <c r="J151" s="8"/>
      <c r="K151" s="9"/>
      <c r="L151" s="8"/>
      <c r="M151" s="9"/>
      <c r="N151" s="8"/>
      <c r="O151" s="9"/>
      <c r="P151" s="8"/>
      <c r="Q151" s="7">
        <v>236276.25</v>
      </c>
      <c r="R151" s="8"/>
    </row>
    <row r="152" spans="1:20" x14ac:dyDescent="0.25">
      <c r="A152" s="15" t="s">
        <v>153</v>
      </c>
      <c r="B152" s="10">
        <v>168114</v>
      </c>
      <c r="D152">
        <f t="shared" si="14"/>
        <v>168114</v>
      </c>
      <c r="E152" s="17">
        <f t="shared" si="15"/>
        <v>0</v>
      </c>
      <c r="G152" s="5" t="s">
        <v>41</v>
      </c>
      <c r="H152" s="11" t="s">
        <v>170</v>
      </c>
      <c r="I152" s="7">
        <f t="shared" si="16"/>
        <v>335497</v>
      </c>
      <c r="J152" s="8"/>
      <c r="K152" s="9"/>
      <c r="L152" s="8"/>
      <c r="M152" s="9"/>
      <c r="N152" s="8"/>
      <c r="O152" s="9"/>
      <c r="P152" s="8"/>
      <c r="Q152" s="9"/>
      <c r="R152" s="10">
        <v>335497</v>
      </c>
    </row>
    <row r="153" spans="1:20" x14ac:dyDescent="0.25">
      <c r="A153" s="15" t="s">
        <v>164</v>
      </c>
      <c r="B153" s="10">
        <v>8400</v>
      </c>
      <c r="D153">
        <f t="shared" si="14"/>
        <v>8400</v>
      </c>
      <c r="E153" s="17">
        <f t="shared" si="15"/>
        <v>0</v>
      </c>
      <c r="G153" s="5" t="s">
        <v>41</v>
      </c>
      <c r="H153" s="11" t="s">
        <v>184</v>
      </c>
      <c r="I153" s="7">
        <f t="shared" si="16"/>
        <v>75494</v>
      </c>
      <c r="J153" s="8"/>
      <c r="K153" s="9"/>
      <c r="L153" s="8"/>
      <c r="M153" s="9"/>
      <c r="N153" s="8"/>
      <c r="O153" s="9"/>
      <c r="P153" s="8"/>
      <c r="Q153" s="9"/>
      <c r="R153" s="10">
        <v>75494</v>
      </c>
    </row>
    <row r="154" spans="1:20" x14ac:dyDescent="0.25">
      <c r="A154" s="15" t="s">
        <v>165</v>
      </c>
      <c r="B154" s="10">
        <v>24074</v>
      </c>
      <c r="D154">
        <f t="shared" si="14"/>
        <v>24074</v>
      </c>
      <c r="E154" s="17">
        <f t="shared" si="15"/>
        <v>0</v>
      </c>
      <c r="G154" s="5" t="s">
        <v>197</v>
      </c>
      <c r="H154" s="11" t="s">
        <v>195</v>
      </c>
      <c r="I154" s="7">
        <f t="shared" si="16"/>
        <v>30607</v>
      </c>
      <c r="J154" s="10">
        <v>30607</v>
      </c>
      <c r="K154" s="9"/>
      <c r="L154" s="8"/>
      <c r="M154" s="9"/>
      <c r="N154" s="8"/>
      <c r="O154" s="9"/>
      <c r="P154" s="8"/>
      <c r="Q154" s="9"/>
      <c r="R154" s="8"/>
    </row>
    <row r="155" spans="1:20" x14ac:dyDescent="0.25">
      <c r="A155" s="15" t="s">
        <v>166</v>
      </c>
      <c r="B155" s="10">
        <v>173480</v>
      </c>
      <c r="D155">
        <f t="shared" si="14"/>
        <v>173480</v>
      </c>
      <c r="E155" s="17">
        <f t="shared" si="15"/>
        <v>0</v>
      </c>
      <c r="G155" s="5" t="s">
        <v>118</v>
      </c>
      <c r="H155" s="11" t="s">
        <v>163</v>
      </c>
      <c r="I155" s="7">
        <f t="shared" si="16"/>
        <v>125036</v>
      </c>
      <c r="J155" s="8"/>
      <c r="K155" s="9"/>
      <c r="L155" s="8"/>
      <c r="M155" s="9"/>
      <c r="N155" s="8"/>
      <c r="O155" s="9"/>
      <c r="P155" s="8"/>
      <c r="Q155" s="7">
        <v>125036</v>
      </c>
      <c r="R155" s="8"/>
    </row>
    <row r="156" spans="1:20" x14ac:dyDescent="0.25">
      <c r="A156" s="15" t="s">
        <v>167</v>
      </c>
      <c r="B156" s="10">
        <v>81564.160000000003</v>
      </c>
      <c r="D156">
        <f t="shared" si="14"/>
        <v>81564.160000000003</v>
      </c>
      <c r="E156" s="17">
        <f t="shared" si="15"/>
        <v>0</v>
      </c>
      <c r="G156" s="5" t="s">
        <v>118</v>
      </c>
      <c r="H156" s="11" t="s">
        <v>153</v>
      </c>
      <c r="I156" s="7">
        <f t="shared" si="16"/>
        <v>168114</v>
      </c>
      <c r="J156" s="8"/>
      <c r="K156" s="9"/>
      <c r="L156" s="8"/>
      <c r="M156" s="9"/>
      <c r="N156" s="8"/>
      <c r="O156" s="9"/>
      <c r="P156" s="8"/>
      <c r="Q156" s="7">
        <v>168114</v>
      </c>
      <c r="R156" s="8"/>
    </row>
    <row r="157" spans="1:20" x14ac:dyDescent="0.25">
      <c r="A157" s="15" t="s">
        <v>168</v>
      </c>
      <c r="B157" s="10">
        <v>6444.4</v>
      </c>
      <c r="D157">
        <f t="shared" si="14"/>
        <v>6444.4</v>
      </c>
      <c r="E157" s="17">
        <f t="shared" si="15"/>
        <v>0</v>
      </c>
      <c r="G157" s="5" t="s">
        <v>118</v>
      </c>
      <c r="H157" s="11" t="s">
        <v>164</v>
      </c>
      <c r="I157" s="7">
        <f t="shared" si="16"/>
        <v>8400</v>
      </c>
      <c r="J157" s="8"/>
      <c r="K157" s="9"/>
      <c r="L157" s="8"/>
      <c r="M157" s="9"/>
      <c r="N157" s="8"/>
      <c r="O157" s="9"/>
      <c r="P157" s="8"/>
      <c r="Q157" s="9"/>
      <c r="R157" s="10">
        <v>8400</v>
      </c>
    </row>
    <row r="158" spans="1:20" x14ac:dyDescent="0.25">
      <c r="A158" s="15" t="s">
        <v>169</v>
      </c>
      <c r="B158" s="10">
        <v>12000</v>
      </c>
      <c r="D158">
        <f t="shared" si="14"/>
        <v>12000</v>
      </c>
      <c r="E158" s="17">
        <f t="shared" si="15"/>
        <v>0</v>
      </c>
      <c r="G158" s="5" t="s">
        <v>118</v>
      </c>
      <c r="H158" s="11" t="s">
        <v>165</v>
      </c>
      <c r="I158" s="7">
        <f t="shared" si="16"/>
        <v>24074</v>
      </c>
      <c r="J158" s="8"/>
      <c r="K158" s="9"/>
      <c r="L158" s="8"/>
      <c r="M158" s="9"/>
      <c r="N158" s="8"/>
      <c r="O158" s="9"/>
      <c r="P158" s="8"/>
      <c r="Q158" s="7">
        <v>23124</v>
      </c>
      <c r="R158" s="10">
        <v>950</v>
      </c>
    </row>
    <row r="159" spans="1:20" x14ac:dyDescent="0.25">
      <c r="A159" s="15" t="s">
        <v>170</v>
      </c>
      <c r="B159" s="10">
        <v>335497</v>
      </c>
      <c r="D159">
        <f t="shared" si="14"/>
        <v>335497</v>
      </c>
      <c r="E159" s="17">
        <f t="shared" si="15"/>
        <v>0</v>
      </c>
      <c r="G159" s="5" t="s">
        <v>118</v>
      </c>
      <c r="H159" s="11" t="s">
        <v>166</v>
      </c>
      <c r="I159" s="7">
        <f t="shared" si="16"/>
        <v>173480</v>
      </c>
      <c r="J159" s="8"/>
      <c r="K159" s="9"/>
      <c r="L159" s="8"/>
      <c r="M159" s="9"/>
      <c r="N159" s="8"/>
      <c r="O159" s="9"/>
      <c r="P159" s="8"/>
      <c r="Q159" s="7">
        <v>173480</v>
      </c>
      <c r="R159" s="8"/>
    </row>
    <row r="160" spans="1:20" x14ac:dyDescent="0.25">
      <c r="A160" s="15" t="s">
        <v>119</v>
      </c>
      <c r="B160" s="10">
        <v>13602</v>
      </c>
      <c r="D160">
        <f t="shared" si="14"/>
        <v>13602</v>
      </c>
      <c r="E160" s="17">
        <f t="shared" si="15"/>
        <v>0</v>
      </c>
      <c r="G160" s="5" t="s">
        <v>118</v>
      </c>
      <c r="H160" s="11" t="s">
        <v>167</v>
      </c>
      <c r="I160" s="7">
        <f t="shared" si="16"/>
        <v>81564.160000000003</v>
      </c>
      <c r="J160" s="8"/>
      <c r="K160" s="9"/>
      <c r="L160" s="8"/>
      <c r="M160" s="9"/>
      <c r="N160" s="8"/>
      <c r="O160" s="9"/>
      <c r="P160" s="8"/>
      <c r="Q160" s="7">
        <v>81564.160000000003</v>
      </c>
      <c r="R160" s="8"/>
    </row>
    <row r="161" spans="1:18" x14ac:dyDescent="0.25">
      <c r="A161" s="15" t="s">
        <v>171</v>
      </c>
      <c r="B161" s="10">
        <v>47736</v>
      </c>
      <c r="D161">
        <f t="shared" si="14"/>
        <v>47736</v>
      </c>
      <c r="E161" s="17">
        <f t="shared" si="15"/>
        <v>0</v>
      </c>
      <c r="G161" s="5" t="s">
        <v>118</v>
      </c>
      <c r="H161" s="11" t="s">
        <v>168</v>
      </c>
      <c r="I161" s="7">
        <f t="shared" si="16"/>
        <v>6444.4</v>
      </c>
      <c r="J161" s="8"/>
      <c r="K161" s="9"/>
      <c r="L161" s="8"/>
      <c r="M161" s="9"/>
      <c r="N161" s="8"/>
      <c r="O161" s="9"/>
      <c r="P161" s="8"/>
      <c r="Q161" s="9"/>
      <c r="R161" s="10">
        <v>6444.4</v>
      </c>
    </row>
    <row r="162" spans="1:18" x14ac:dyDescent="0.25">
      <c r="A162" s="15" t="s">
        <v>172</v>
      </c>
      <c r="B162" s="10">
        <v>40000</v>
      </c>
      <c r="D162">
        <f t="shared" si="14"/>
        <v>40000</v>
      </c>
      <c r="E162" s="17">
        <f t="shared" si="15"/>
        <v>0</v>
      </c>
      <c r="G162" s="5" t="s">
        <v>118</v>
      </c>
      <c r="H162" s="11" t="s">
        <v>169</v>
      </c>
      <c r="I162" s="7">
        <f t="shared" si="16"/>
        <v>12000</v>
      </c>
      <c r="J162" s="8"/>
      <c r="K162" s="9"/>
      <c r="L162" s="8"/>
      <c r="M162" s="9"/>
      <c r="N162" s="8"/>
      <c r="O162" s="9"/>
      <c r="P162" s="8"/>
      <c r="Q162" s="9"/>
      <c r="R162" s="10">
        <v>12000</v>
      </c>
    </row>
    <row r="163" spans="1:18" x14ac:dyDescent="0.25">
      <c r="A163" s="15" t="s">
        <v>173</v>
      </c>
      <c r="B163" s="10">
        <v>19760</v>
      </c>
      <c r="D163">
        <f t="shared" si="14"/>
        <v>19760</v>
      </c>
      <c r="E163" s="17">
        <f t="shared" si="15"/>
        <v>0</v>
      </c>
      <c r="G163" s="5" t="s">
        <v>118</v>
      </c>
      <c r="H163" s="11" t="s">
        <v>119</v>
      </c>
      <c r="I163" s="7">
        <f t="shared" si="16"/>
        <v>13602</v>
      </c>
      <c r="J163" s="8"/>
      <c r="K163" s="9"/>
      <c r="L163" s="8"/>
      <c r="M163" s="9"/>
      <c r="N163" s="8"/>
      <c r="O163" s="9"/>
      <c r="P163" s="8"/>
      <c r="Q163" s="9"/>
      <c r="R163" s="10">
        <v>13602</v>
      </c>
    </row>
    <row r="164" spans="1:18" x14ac:dyDescent="0.25">
      <c r="A164" s="15" t="s">
        <v>174</v>
      </c>
      <c r="B164" s="10">
        <v>734485</v>
      </c>
      <c r="D164">
        <f t="shared" si="14"/>
        <v>734485</v>
      </c>
      <c r="E164" s="17">
        <f t="shared" si="15"/>
        <v>0</v>
      </c>
      <c r="G164" s="5" t="s">
        <v>118</v>
      </c>
      <c r="H164" s="11" t="s">
        <v>171</v>
      </c>
      <c r="I164" s="7">
        <f t="shared" si="16"/>
        <v>47736</v>
      </c>
      <c r="J164" s="8"/>
      <c r="K164" s="9"/>
      <c r="L164" s="8"/>
      <c r="M164" s="9"/>
      <c r="N164" s="8"/>
      <c r="O164" s="9"/>
      <c r="P164" s="8"/>
      <c r="Q164" s="9"/>
      <c r="R164" s="10">
        <v>47736</v>
      </c>
    </row>
    <row r="165" spans="1:18" x14ac:dyDescent="0.25">
      <c r="A165" s="15" t="s">
        <v>175</v>
      </c>
      <c r="B165" s="10">
        <v>945500</v>
      </c>
      <c r="D165">
        <f t="shared" si="14"/>
        <v>945500</v>
      </c>
      <c r="E165" s="17">
        <f t="shared" si="15"/>
        <v>0</v>
      </c>
      <c r="G165" s="5" t="s">
        <v>118</v>
      </c>
      <c r="H165" s="11" t="s">
        <v>172</v>
      </c>
      <c r="I165" s="7">
        <f t="shared" si="16"/>
        <v>40000</v>
      </c>
      <c r="J165" s="8"/>
      <c r="K165" s="9"/>
      <c r="L165" s="8"/>
      <c r="M165" s="9"/>
      <c r="N165" s="8"/>
      <c r="O165" s="9"/>
      <c r="P165" s="8"/>
      <c r="Q165" s="9"/>
      <c r="R165" s="10">
        <v>40000</v>
      </c>
    </row>
    <row r="166" spans="1:18" x14ac:dyDescent="0.25">
      <c r="A166" s="15" t="s">
        <v>176</v>
      </c>
      <c r="B166" s="10">
        <v>6000</v>
      </c>
      <c r="D166">
        <f t="shared" si="14"/>
        <v>6000</v>
      </c>
      <c r="E166" s="17">
        <f t="shared" si="15"/>
        <v>0</v>
      </c>
      <c r="G166" s="5" t="s">
        <v>118</v>
      </c>
      <c r="H166" s="11" t="s">
        <v>173</v>
      </c>
      <c r="I166" s="7">
        <f t="shared" si="16"/>
        <v>19760</v>
      </c>
      <c r="J166" s="8"/>
      <c r="K166" s="9"/>
      <c r="L166" s="8"/>
      <c r="M166" s="9"/>
      <c r="N166" s="8"/>
      <c r="O166" s="9"/>
      <c r="P166" s="8"/>
      <c r="Q166" s="9"/>
      <c r="R166" s="10">
        <v>19760</v>
      </c>
    </row>
    <row r="167" spans="1:18" x14ac:dyDescent="0.25">
      <c r="A167" s="15" t="s">
        <v>177</v>
      </c>
      <c r="B167" s="10">
        <v>128860</v>
      </c>
      <c r="D167">
        <f t="shared" si="14"/>
        <v>128860</v>
      </c>
      <c r="E167" s="17">
        <f t="shared" si="15"/>
        <v>0</v>
      </c>
      <c r="G167" s="5" t="s">
        <v>118</v>
      </c>
      <c r="H167" s="11" t="s">
        <v>174</v>
      </c>
      <c r="I167" s="7">
        <f t="shared" si="16"/>
        <v>734485</v>
      </c>
      <c r="J167" s="8"/>
      <c r="K167" s="9"/>
      <c r="L167" s="8"/>
      <c r="M167" s="9"/>
      <c r="N167" s="8"/>
      <c r="O167" s="9"/>
      <c r="P167" s="8"/>
      <c r="Q167" s="9"/>
      <c r="R167" s="10">
        <v>734485</v>
      </c>
    </row>
    <row r="168" spans="1:18" x14ac:dyDescent="0.25">
      <c r="A168" s="15" t="s">
        <v>178</v>
      </c>
      <c r="B168" s="10">
        <v>197000</v>
      </c>
      <c r="D168">
        <f t="shared" si="14"/>
        <v>197000</v>
      </c>
      <c r="E168" s="17">
        <f t="shared" si="15"/>
        <v>0</v>
      </c>
      <c r="G168" s="5" t="s">
        <v>118</v>
      </c>
      <c r="H168" s="11" t="s">
        <v>175</v>
      </c>
      <c r="I168" s="7">
        <f t="shared" si="16"/>
        <v>945500</v>
      </c>
      <c r="J168" s="8"/>
      <c r="K168" s="9"/>
      <c r="L168" s="8"/>
      <c r="M168" s="9"/>
      <c r="N168" s="8"/>
      <c r="O168" s="9"/>
      <c r="P168" s="8"/>
      <c r="Q168" s="7">
        <v>945500</v>
      </c>
      <c r="R168" s="8"/>
    </row>
    <row r="169" spans="1:18" x14ac:dyDescent="0.25">
      <c r="A169" s="15" t="s">
        <v>179</v>
      </c>
      <c r="B169" s="10">
        <v>64450</v>
      </c>
      <c r="D169">
        <f t="shared" si="14"/>
        <v>64450</v>
      </c>
      <c r="E169" s="17">
        <f t="shared" si="15"/>
        <v>0</v>
      </c>
      <c r="G169" s="5" t="s">
        <v>118</v>
      </c>
      <c r="H169" s="11" t="s">
        <v>176</v>
      </c>
      <c r="I169" s="7">
        <f t="shared" si="16"/>
        <v>6000</v>
      </c>
      <c r="J169" s="8"/>
      <c r="K169" s="9"/>
      <c r="L169" s="8"/>
      <c r="M169" s="9"/>
      <c r="N169" s="8"/>
      <c r="O169" s="9"/>
      <c r="P169" s="8"/>
      <c r="Q169" s="7">
        <v>6000</v>
      </c>
      <c r="R169" s="8"/>
    </row>
    <row r="170" spans="1:18" x14ac:dyDescent="0.25">
      <c r="A170" s="15" t="s">
        <v>180</v>
      </c>
      <c r="B170" s="10">
        <v>40250</v>
      </c>
      <c r="D170">
        <f t="shared" si="14"/>
        <v>40250</v>
      </c>
      <c r="E170" s="17">
        <f t="shared" si="15"/>
        <v>0</v>
      </c>
      <c r="G170" s="5" t="s">
        <v>118</v>
      </c>
      <c r="H170" s="11" t="s">
        <v>177</v>
      </c>
      <c r="I170" s="7">
        <f t="shared" si="16"/>
        <v>128860</v>
      </c>
      <c r="J170" s="8"/>
      <c r="K170" s="9"/>
      <c r="L170" s="8"/>
      <c r="M170" s="9"/>
      <c r="N170" s="8"/>
      <c r="O170" s="9"/>
      <c r="P170" s="8"/>
      <c r="Q170" s="9"/>
      <c r="R170" s="10">
        <v>128860</v>
      </c>
    </row>
    <row r="171" spans="1:18" x14ac:dyDescent="0.25">
      <c r="A171" s="15" t="s">
        <v>181</v>
      </c>
      <c r="B171" s="10">
        <v>777024</v>
      </c>
      <c r="D171">
        <f t="shared" si="14"/>
        <v>777024</v>
      </c>
      <c r="E171" s="17">
        <f t="shared" si="15"/>
        <v>0</v>
      </c>
      <c r="G171" s="5" t="s">
        <v>118</v>
      </c>
      <c r="H171" s="11" t="s">
        <v>178</v>
      </c>
      <c r="I171" s="7">
        <f t="shared" si="16"/>
        <v>197000</v>
      </c>
      <c r="J171" s="8"/>
      <c r="K171" s="9"/>
      <c r="L171" s="8"/>
      <c r="M171" s="9"/>
      <c r="N171" s="8"/>
      <c r="O171" s="9"/>
      <c r="P171" s="8"/>
      <c r="Q171" s="9"/>
      <c r="R171" s="10">
        <v>197000</v>
      </c>
    </row>
    <row r="172" spans="1:18" x14ac:dyDescent="0.25">
      <c r="A172" s="15" t="s">
        <v>182</v>
      </c>
      <c r="B172" s="10">
        <v>153225</v>
      </c>
      <c r="D172">
        <f t="shared" si="14"/>
        <v>153225</v>
      </c>
      <c r="E172" s="17">
        <f t="shared" si="15"/>
        <v>0</v>
      </c>
      <c r="G172" s="5" t="s">
        <v>118</v>
      </c>
      <c r="H172" s="11" t="s">
        <v>180</v>
      </c>
      <c r="I172" s="7">
        <f t="shared" si="16"/>
        <v>40250</v>
      </c>
      <c r="J172" s="8"/>
      <c r="K172" s="9"/>
      <c r="L172" s="8"/>
      <c r="M172" s="9"/>
      <c r="N172" s="8"/>
      <c r="O172" s="9"/>
      <c r="P172" s="8"/>
      <c r="Q172" s="9"/>
      <c r="R172" s="10">
        <v>40250</v>
      </c>
    </row>
    <row r="173" spans="1:18" x14ac:dyDescent="0.25">
      <c r="A173" s="15" t="s">
        <v>183</v>
      </c>
      <c r="B173" s="10">
        <v>108000</v>
      </c>
      <c r="D173">
        <f t="shared" si="14"/>
        <v>108000</v>
      </c>
      <c r="E173" s="17">
        <f t="shared" si="15"/>
        <v>0</v>
      </c>
      <c r="G173" s="5" t="s">
        <v>118</v>
      </c>
      <c r="H173" s="11" t="s">
        <v>181</v>
      </c>
      <c r="I173" s="7">
        <f t="shared" si="16"/>
        <v>777024</v>
      </c>
      <c r="J173" s="8"/>
      <c r="K173" s="9"/>
      <c r="L173" s="8"/>
      <c r="M173" s="9"/>
      <c r="N173" s="8"/>
      <c r="O173" s="9"/>
      <c r="P173" s="8"/>
      <c r="Q173" s="9"/>
      <c r="R173" s="10">
        <v>777024</v>
      </c>
    </row>
    <row r="174" spans="1:18" x14ac:dyDescent="0.25">
      <c r="A174" s="15" t="s">
        <v>184</v>
      </c>
      <c r="B174" s="10">
        <v>75494</v>
      </c>
      <c r="D174">
        <f t="shared" si="14"/>
        <v>75494</v>
      </c>
      <c r="E174" s="17">
        <f t="shared" si="15"/>
        <v>0</v>
      </c>
      <c r="G174" s="5" t="s">
        <v>118</v>
      </c>
      <c r="H174" s="11" t="s">
        <v>182</v>
      </c>
      <c r="I174" s="7">
        <f t="shared" si="16"/>
        <v>153225</v>
      </c>
      <c r="J174" s="8"/>
      <c r="K174" s="9"/>
      <c r="L174" s="8"/>
      <c r="M174" s="9"/>
      <c r="N174" s="8"/>
      <c r="O174" s="9"/>
      <c r="P174" s="8"/>
      <c r="Q174" s="7">
        <v>153225</v>
      </c>
      <c r="R174" s="8"/>
    </row>
    <row r="175" spans="1:18" x14ac:dyDescent="0.25">
      <c r="A175" s="15" t="s">
        <v>185</v>
      </c>
      <c r="B175" s="10">
        <v>50600</v>
      </c>
      <c r="D175">
        <f t="shared" si="14"/>
        <v>50600</v>
      </c>
      <c r="E175" s="17">
        <f t="shared" si="15"/>
        <v>0</v>
      </c>
      <c r="G175" s="5" t="s">
        <v>118</v>
      </c>
      <c r="H175" s="11" t="s">
        <v>183</v>
      </c>
      <c r="I175" s="7">
        <f t="shared" si="16"/>
        <v>108000</v>
      </c>
      <c r="J175" s="8"/>
      <c r="K175" s="9"/>
      <c r="L175" s="8"/>
      <c r="M175" s="9"/>
      <c r="N175" s="8"/>
      <c r="O175" s="9"/>
      <c r="P175" s="8"/>
      <c r="Q175" s="9"/>
      <c r="R175" s="10">
        <v>108000</v>
      </c>
    </row>
    <row r="176" spans="1:18" x14ac:dyDescent="0.25">
      <c r="A176" s="15" t="s">
        <v>156</v>
      </c>
      <c r="B176" s="10">
        <v>47800</v>
      </c>
      <c r="D176">
        <f t="shared" si="14"/>
        <v>47800</v>
      </c>
      <c r="E176" s="17">
        <f t="shared" si="15"/>
        <v>0</v>
      </c>
      <c r="G176" s="5" t="s">
        <v>118</v>
      </c>
      <c r="H176" s="11" t="s">
        <v>185</v>
      </c>
      <c r="I176" s="7">
        <f t="shared" si="16"/>
        <v>50600</v>
      </c>
      <c r="J176" s="8"/>
      <c r="K176" s="9"/>
      <c r="L176" s="8"/>
      <c r="M176" s="9"/>
      <c r="N176" s="8"/>
      <c r="O176" s="9"/>
      <c r="P176" s="8"/>
      <c r="Q176" s="7">
        <v>50600</v>
      </c>
      <c r="R176" s="8"/>
    </row>
    <row r="177" spans="1:20" x14ac:dyDescent="0.25">
      <c r="A177" s="15" t="s">
        <v>186</v>
      </c>
      <c r="B177" s="10">
        <v>68000</v>
      </c>
      <c r="D177">
        <f t="shared" si="14"/>
        <v>68000</v>
      </c>
      <c r="E177" s="17">
        <f t="shared" si="15"/>
        <v>0</v>
      </c>
      <c r="G177" s="5" t="s">
        <v>118</v>
      </c>
      <c r="H177" s="11" t="s">
        <v>156</v>
      </c>
      <c r="I177" s="7">
        <f t="shared" si="16"/>
        <v>47800</v>
      </c>
      <c r="J177" s="8"/>
      <c r="K177" s="9"/>
      <c r="L177" s="8"/>
      <c r="M177" s="9"/>
      <c r="N177" s="8"/>
      <c r="O177" s="9"/>
      <c r="P177" s="8"/>
      <c r="Q177" s="9"/>
      <c r="R177" s="10">
        <v>47800</v>
      </c>
    </row>
    <row r="178" spans="1:20" x14ac:dyDescent="0.25">
      <c r="A178" s="15" t="s">
        <v>187</v>
      </c>
      <c r="B178" s="10">
        <v>168000</v>
      </c>
      <c r="D178">
        <f t="shared" si="14"/>
        <v>168000</v>
      </c>
      <c r="E178" s="17">
        <f t="shared" si="15"/>
        <v>0</v>
      </c>
      <c r="G178" s="5" t="s">
        <v>118</v>
      </c>
      <c r="H178" s="11" t="s">
        <v>186</v>
      </c>
      <c r="I178" s="7">
        <f t="shared" si="16"/>
        <v>68000</v>
      </c>
      <c r="J178" s="8"/>
      <c r="K178" s="9"/>
      <c r="L178" s="8"/>
      <c r="M178" s="9"/>
      <c r="N178" s="8"/>
      <c r="O178" s="9"/>
      <c r="P178" s="8"/>
      <c r="Q178" s="9"/>
      <c r="R178" s="10">
        <v>68000</v>
      </c>
    </row>
    <row r="179" spans="1:20" x14ac:dyDescent="0.25">
      <c r="A179" s="15" t="s">
        <v>188</v>
      </c>
      <c r="B179" s="10">
        <v>104500</v>
      </c>
      <c r="D179">
        <f t="shared" si="14"/>
        <v>104500</v>
      </c>
      <c r="E179" s="17">
        <f t="shared" si="15"/>
        <v>0</v>
      </c>
      <c r="G179" s="5" t="s">
        <v>118</v>
      </c>
      <c r="H179" s="11" t="s">
        <v>187</v>
      </c>
      <c r="I179" s="7">
        <f t="shared" si="16"/>
        <v>168000</v>
      </c>
      <c r="J179" s="8"/>
      <c r="K179" s="9"/>
      <c r="L179" s="8"/>
      <c r="M179" s="9"/>
      <c r="N179" s="8"/>
      <c r="O179" s="9"/>
      <c r="P179" s="8"/>
      <c r="Q179" s="7">
        <v>168000</v>
      </c>
      <c r="R179" s="8"/>
    </row>
    <row r="180" spans="1:20" x14ac:dyDescent="0.25">
      <c r="A180" s="15" t="s">
        <v>120</v>
      </c>
      <c r="B180" s="10">
        <v>460909</v>
      </c>
      <c r="D180">
        <f t="shared" si="14"/>
        <v>460909</v>
      </c>
      <c r="E180" s="17">
        <f t="shared" si="15"/>
        <v>0</v>
      </c>
      <c r="G180" s="5" t="s">
        <v>118</v>
      </c>
      <c r="H180" s="11" t="s">
        <v>188</v>
      </c>
      <c r="I180" s="7">
        <f t="shared" si="16"/>
        <v>104500</v>
      </c>
      <c r="J180" s="8"/>
      <c r="K180" s="9"/>
      <c r="L180" s="8"/>
      <c r="M180" s="9"/>
      <c r="N180" s="8"/>
      <c r="O180" s="9"/>
      <c r="P180" s="8"/>
      <c r="Q180" s="9"/>
      <c r="R180" s="10">
        <v>104500</v>
      </c>
    </row>
    <row r="181" spans="1:20" x14ac:dyDescent="0.25">
      <c r="A181" s="15" t="s">
        <v>189</v>
      </c>
      <c r="B181" s="10">
        <v>25200</v>
      </c>
      <c r="D181">
        <f t="shared" si="14"/>
        <v>25200</v>
      </c>
      <c r="E181" s="17">
        <f t="shared" si="15"/>
        <v>0</v>
      </c>
      <c r="G181" s="5" t="s">
        <v>118</v>
      </c>
      <c r="H181" s="11" t="s">
        <v>120</v>
      </c>
      <c r="I181" s="7">
        <f t="shared" si="16"/>
        <v>460909</v>
      </c>
      <c r="J181" s="8"/>
      <c r="K181" s="9"/>
      <c r="L181" s="8"/>
      <c r="M181" s="9"/>
      <c r="N181" s="8"/>
      <c r="O181" s="9"/>
      <c r="P181" s="8"/>
      <c r="Q181" s="9"/>
      <c r="R181" s="10">
        <v>460909</v>
      </c>
    </row>
    <row r="182" spans="1:20" x14ac:dyDescent="0.25">
      <c r="A182" s="15" t="s">
        <v>190</v>
      </c>
      <c r="B182" s="10">
        <v>735000</v>
      </c>
      <c r="D182">
        <f t="shared" si="14"/>
        <v>735000</v>
      </c>
      <c r="E182" s="17">
        <f t="shared" si="15"/>
        <v>0</v>
      </c>
      <c r="G182" s="5" t="s">
        <v>118</v>
      </c>
      <c r="H182" s="11" t="s">
        <v>189</v>
      </c>
      <c r="I182" s="7">
        <f t="shared" si="16"/>
        <v>25200</v>
      </c>
      <c r="J182" s="8"/>
      <c r="K182" s="9"/>
      <c r="L182" s="8"/>
      <c r="M182" s="9"/>
      <c r="N182" s="8"/>
      <c r="O182" s="9"/>
      <c r="P182" s="8"/>
      <c r="Q182" s="9"/>
      <c r="R182" s="10">
        <v>25200</v>
      </c>
    </row>
    <row r="183" spans="1:20" x14ac:dyDescent="0.25">
      <c r="A183" s="15" t="s">
        <v>191</v>
      </c>
      <c r="B183" s="10">
        <v>170000</v>
      </c>
      <c r="D183">
        <f t="shared" si="14"/>
        <v>170000</v>
      </c>
      <c r="E183" s="17">
        <f t="shared" si="15"/>
        <v>0</v>
      </c>
      <c r="G183" s="5" t="s">
        <v>118</v>
      </c>
      <c r="H183" s="11" t="s">
        <v>190</v>
      </c>
      <c r="I183" s="7">
        <f t="shared" si="16"/>
        <v>735000</v>
      </c>
      <c r="J183" s="8"/>
      <c r="K183" s="9"/>
      <c r="L183" s="8"/>
      <c r="M183" s="9"/>
      <c r="N183" s="8"/>
      <c r="O183" s="9"/>
      <c r="P183" s="8"/>
      <c r="Q183" s="9"/>
      <c r="R183" s="10">
        <v>735000</v>
      </c>
    </row>
    <row r="184" spans="1:20" x14ac:dyDescent="0.25">
      <c r="A184" s="15" t="s">
        <v>192</v>
      </c>
      <c r="B184" s="10">
        <v>321000</v>
      </c>
      <c r="D184">
        <f t="shared" si="14"/>
        <v>321000</v>
      </c>
      <c r="E184" s="17">
        <f t="shared" si="15"/>
        <v>0</v>
      </c>
      <c r="G184" s="5" t="s">
        <v>118</v>
      </c>
      <c r="H184" s="11" t="s">
        <v>191</v>
      </c>
      <c r="I184" s="7">
        <f t="shared" si="16"/>
        <v>170000</v>
      </c>
      <c r="J184" s="8"/>
      <c r="K184" s="9"/>
      <c r="L184" s="8"/>
      <c r="M184" s="9"/>
      <c r="N184" s="8"/>
      <c r="O184" s="9"/>
      <c r="P184" s="8"/>
      <c r="Q184" s="9"/>
      <c r="R184" s="10">
        <v>170000</v>
      </c>
    </row>
    <row r="185" spans="1:20" x14ac:dyDescent="0.25">
      <c r="A185" s="15" t="s">
        <v>193</v>
      </c>
      <c r="B185" s="10">
        <v>585000</v>
      </c>
      <c r="D185">
        <f t="shared" si="14"/>
        <v>585000</v>
      </c>
      <c r="E185" s="17">
        <f t="shared" si="15"/>
        <v>0</v>
      </c>
      <c r="G185" s="5" t="s">
        <v>118</v>
      </c>
      <c r="H185" s="11" t="s">
        <v>192</v>
      </c>
      <c r="I185" s="7">
        <f t="shared" si="16"/>
        <v>321000</v>
      </c>
      <c r="J185" s="8"/>
      <c r="K185" s="9"/>
      <c r="L185" s="8"/>
      <c r="M185" s="9"/>
      <c r="N185" s="8"/>
      <c r="O185" s="9"/>
      <c r="P185" s="8"/>
      <c r="Q185" s="7">
        <v>321000</v>
      </c>
      <c r="R185" s="8"/>
    </row>
    <row r="186" spans="1:20" x14ac:dyDescent="0.25">
      <c r="A186" s="15" t="s">
        <v>194</v>
      </c>
      <c r="B186" s="10">
        <v>11500</v>
      </c>
      <c r="D186">
        <f t="shared" si="14"/>
        <v>11500</v>
      </c>
      <c r="E186" s="17">
        <f t="shared" si="15"/>
        <v>0</v>
      </c>
      <c r="G186" s="5" t="s">
        <v>118</v>
      </c>
      <c r="H186" s="11" t="s">
        <v>193</v>
      </c>
      <c r="I186" s="7">
        <f t="shared" si="16"/>
        <v>585000</v>
      </c>
      <c r="J186" s="8"/>
      <c r="K186" s="9"/>
      <c r="L186" s="8"/>
      <c r="M186" s="9"/>
      <c r="N186" s="8"/>
      <c r="O186" s="9"/>
      <c r="P186" s="8"/>
      <c r="Q186" s="9"/>
      <c r="R186" s="10">
        <v>585000</v>
      </c>
    </row>
    <row r="187" spans="1:20" x14ac:dyDescent="0.25">
      <c r="A187" s="15" t="s">
        <v>195</v>
      </c>
      <c r="B187" s="10">
        <v>30607</v>
      </c>
      <c r="D187">
        <f t="shared" si="14"/>
        <v>30607</v>
      </c>
      <c r="E187" s="17">
        <f t="shared" si="15"/>
        <v>0</v>
      </c>
      <c r="G187" s="5" t="s">
        <v>118</v>
      </c>
      <c r="H187" s="11" t="s">
        <v>194</v>
      </c>
      <c r="I187" s="7">
        <f t="shared" si="16"/>
        <v>11500</v>
      </c>
      <c r="J187" s="8"/>
      <c r="K187" s="9"/>
      <c r="L187" s="8"/>
      <c r="M187" s="9"/>
      <c r="N187" s="8"/>
      <c r="O187" s="9"/>
      <c r="P187" s="8"/>
      <c r="Q187" s="7">
        <v>11500</v>
      </c>
      <c r="R187" s="8"/>
    </row>
    <row r="188" spans="1:20" x14ac:dyDescent="0.25">
      <c r="A188" s="3" t="s">
        <v>121</v>
      </c>
      <c r="B188" s="13">
        <f>SUM(B148:B187)</f>
        <v>13772636.65</v>
      </c>
      <c r="D188" s="13">
        <f>SUM(D148:D187)</f>
        <v>13772636.65</v>
      </c>
      <c r="G188" s="12"/>
      <c r="H188" s="3" t="s">
        <v>121</v>
      </c>
      <c r="I188" s="13">
        <f>SUM(I148:I187)</f>
        <v>13772636.65</v>
      </c>
      <c r="J188" s="13">
        <f t="shared" ref="J188:R188" si="17">SUM(J148:J187)</f>
        <v>234732</v>
      </c>
      <c r="K188" s="13">
        <f t="shared" si="17"/>
        <v>437270</v>
      </c>
      <c r="L188" s="13">
        <f t="shared" si="17"/>
        <v>902070</v>
      </c>
      <c r="M188" s="13">
        <f t="shared" si="17"/>
        <v>432750</v>
      </c>
      <c r="N188" s="13">
        <f t="shared" si="17"/>
        <v>2042450</v>
      </c>
      <c r="O188" s="13">
        <f t="shared" si="17"/>
        <v>1605109.84</v>
      </c>
      <c r="P188" s="13">
        <f t="shared" si="17"/>
        <v>912924</v>
      </c>
      <c r="Q188" s="13">
        <f t="shared" si="17"/>
        <v>2463419.41</v>
      </c>
      <c r="R188" s="13">
        <f t="shared" si="17"/>
        <v>4741911.4000000004</v>
      </c>
      <c r="S188" s="16">
        <f>SUM(J188:R188)</f>
        <v>13772636.65</v>
      </c>
      <c r="T188" s="18">
        <f>+I188-S188</f>
        <v>0</v>
      </c>
    </row>
    <row r="189" spans="1:20" x14ac:dyDescent="0.25">
      <c r="D189" s="18">
        <f>+B188-D188</f>
        <v>0</v>
      </c>
    </row>
    <row r="190" spans="1:20" x14ac:dyDescent="0.25">
      <c r="A190" s="19" t="s">
        <v>198</v>
      </c>
      <c r="B190" s="2" t="s">
        <v>10</v>
      </c>
      <c r="G190" s="12" t="s">
        <v>122</v>
      </c>
      <c r="H190" s="19" t="s">
        <v>198</v>
      </c>
      <c r="I190" s="4" t="s">
        <v>0</v>
      </c>
      <c r="J190" s="4" t="s">
        <v>1</v>
      </c>
      <c r="K190" s="4" t="s">
        <v>2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9</v>
      </c>
    </row>
    <row r="191" spans="1:20" x14ac:dyDescent="0.25">
      <c r="A191" s="15" t="s">
        <v>202</v>
      </c>
      <c r="B191" s="10">
        <v>4000</v>
      </c>
      <c r="D191">
        <f t="shared" ref="D191:D207" si="18">VLOOKUP(A191,$H$191:$I$207,2,0)</f>
        <v>4000</v>
      </c>
      <c r="E191" s="17">
        <f>+B191-D191</f>
        <v>0</v>
      </c>
      <c r="G191" s="5" t="s">
        <v>41</v>
      </c>
      <c r="H191" s="6" t="s">
        <v>57</v>
      </c>
      <c r="I191" s="7">
        <f>SUM(J191:R191)</f>
        <v>1365400</v>
      </c>
      <c r="J191" s="8"/>
      <c r="K191" s="9"/>
      <c r="L191" s="8"/>
      <c r="M191" s="9"/>
      <c r="N191" s="8"/>
      <c r="O191" s="9"/>
      <c r="P191" s="8"/>
      <c r="Q191" s="9"/>
      <c r="R191" s="10">
        <v>1365400</v>
      </c>
    </row>
    <row r="192" spans="1:20" x14ac:dyDescent="0.25">
      <c r="A192" s="15" t="s">
        <v>115</v>
      </c>
      <c r="B192" s="10">
        <v>1155050</v>
      </c>
      <c r="D192">
        <f t="shared" si="18"/>
        <v>1155050</v>
      </c>
      <c r="E192" s="17">
        <f t="shared" ref="E192:E207" si="19">+B192-D192</f>
        <v>0</v>
      </c>
      <c r="G192" s="5" t="s">
        <v>41</v>
      </c>
      <c r="H192" s="6" t="s">
        <v>199</v>
      </c>
      <c r="I192" s="7">
        <f t="shared" ref="I192:I207" si="20">SUM(J192:R192)</f>
        <v>46500</v>
      </c>
      <c r="J192" s="8"/>
      <c r="K192" s="9"/>
      <c r="L192" s="8"/>
      <c r="M192" s="9"/>
      <c r="N192" s="8"/>
      <c r="O192" s="9"/>
      <c r="P192" s="8"/>
      <c r="Q192" s="7">
        <v>1316</v>
      </c>
      <c r="R192" s="10">
        <v>45184</v>
      </c>
    </row>
    <row r="193" spans="1:18" x14ac:dyDescent="0.25">
      <c r="A193" s="15" t="s">
        <v>57</v>
      </c>
      <c r="B193" s="10">
        <v>1365400</v>
      </c>
      <c r="D193">
        <f t="shared" si="18"/>
        <v>1365400</v>
      </c>
      <c r="E193" s="17">
        <f t="shared" si="19"/>
        <v>0</v>
      </c>
      <c r="G193" s="5" t="s">
        <v>41</v>
      </c>
      <c r="H193" s="6" t="s">
        <v>200</v>
      </c>
      <c r="I193" s="7">
        <f t="shared" si="20"/>
        <v>5780</v>
      </c>
      <c r="J193" s="8"/>
      <c r="K193" s="9"/>
      <c r="L193" s="8"/>
      <c r="M193" s="9"/>
      <c r="N193" s="8"/>
      <c r="O193" s="9"/>
      <c r="P193" s="8"/>
      <c r="Q193" s="7">
        <v>5780</v>
      </c>
      <c r="R193" s="8"/>
    </row>
    <row r="194" spans="1:18" x14ac:dyDescent="0.25">
      <c r="A194" s="15" t="s">
        <v>154</v>
      </c>
      <c r="B194" s="10">
        <v>21000</v>
      </c>
      <c r="D194">
        <f t="shared" si="18"/>
        <v>21000</v>
      </c>
      <c r="E194" s="17">
        <f t="shared" si="19"/>
        <v>0</v>
      </c>
      <c r="G194" s="5" t="s">
        <v>41</v>
      </c>
      <c r="H194" s="6" t="s">
        <v>131</v>
      </c>
      <c r="I194" s="7">
        <f t="shared" si="20"/>
        <v>271000</v>
      </c>
      <c r="J194" s="8"/>
      <c r="K194" s="9"/>
      <c r="L194" s="8"/>
      <c r="M194" s="9"/>
      <c r="N194" s="8"/>
      <c r="O194" s="9"/>
      <c r="P194" s="8"/>
      <c r="Q194" s="9"/>
      <c r="R194" s="10">
        <v>271000</v>
      </c>
    </row>
    <row r="195" spans="1:18" x14ac:dyDescent="0.25">
      <c r="A195" s="15" t="s">
        <v>119</v>
      </c>
      <c r="B195" s="10">
        <v>12000</v>
      </c>
      <c r="D195">
        <f t="shared" si="18"/>
        <v>12000</v>
      </c>
      <c r="E195" s="17">
        <f t="shared" si="19"/>
        <v>0</v>
      </c>
      <c r="G195" s="5" t="s">
        <v>41</v>
      </c>
      <c r="H195" s="6" t="s">
        <v>106</v>
      </c>
      <c r="I195" s="7">
        <f t="shared" si="20"/>
        <v>8462755</v>
      </c>
      <c r="J195" s="8"/>
      <c r="K195" s="9"/>
      <c r="L195" s="8"/>
      <c r="M195" s="9"/>
      <c r="N195" s="8"/>
      <c r="O195" s="9"/>
      <c r="P195" s="8"/>
      <c r="Q195" s="7">
        <v>1</v>
      </c>
      <c r="R195" s="10">
        <v>8462754</v>
      </c>
    </row>
    <row r="196" spans="1:18" x14ac:dyDescent="0.25">
      <c r="A196" s="15" t="s">
        <v>203</v>
      </c>
      <c r="B196" s="10">
        <v>28200</v>
      </c>
      <c r="D196">
        <f t="shared" si="18"/>
        <v>28200</v>
      </c>
      <c r="E196" s="17">
        <f t="shared" si="19"/>
        <v>0</v>
      </c>
      <c r="G196" s="5" t="s">
        <v>41</v>
      </c>
      <c r="H196" s="6" t="s">
        <v>146</v>
      </c>
      <c r="I196" s="7">
        <f t="shared" si="20"/>
        <v>25950</v>
      </c>
      <c r="J196" s="8"/>
      <c r="K196" s="9"/>
      <c r="L196" s="8"/>
      <c r="M196" s="9"/>
      <c r="N196" s="8"/>
      <c r="O196" s="9"/>
      <c r="P196" s="8"/>
      <c r="Q196" s="9"/>
      <c r="R196" s="10">
        <v>25950</v>
      </c>
    </row>
    <row r="197" spans="1:18" x14ac:dyDescent="0.25">
      <c r="A197" s="15" t="s">
        <v>199</v>
      </c>
      <c r="B197" s="10">
        <v>46500</v>
      </c>
      <c r="D197">
        <f t="shared" si="18"/>
        <v>46500</v>
      </c>
      <c r="E197" s="17">
        <f t="shared" si="19"/>
        <v>0</v>
      </c>
      <c r="G197" s="5" t="s">
        <v>41</v>
      </c>
      <c r="H197" s="6" t="s">
        <v>201</v>
      </c>
      <c r="I197" s="7">
        <f t="shared" si="20"/>
        <v>1300</v>
      </c>
      <c r="J197" s="8"/>
      <c r="K197" s="9"/>
      <c r="L197" s="8"/>
      <c r="M197" s="9"/>
      <c r="N197" s="8"/>
      <c r="O197" s="9"/>
      <c r="P197" s="8"/>
      <c r="Q197" s="7">
        <v>1300</v>
      </c>
      <c r="R197" s="8"/>
    </row>
    <row r="198" spans="1:18" x14ac:dyDescent="0.25">
      <c r="A198" s="15" t="s">
        <v>200</v>
      </c>
      <c r="B198" s="10">
        <v>5780</v>
      </c>
      <c r="D198">
        <f t="shared" si="18"/>
        <v>5780</v>
      </c>
      <c r="E198" s="17">
        <f t="shared" si="19"/>
        <v>0</v>
      </c>
      <c r="G198" s="5" t="s">
        <v>197</v>
      </c>
      <c r="H198" s="6" t="s">
        <v>202</v>
      </c>
      <c r="I198" s="7">
        <f t="shared" si="20"/>
        <v>4000</v>
      </c>
      <c r="J198" s="10">
        <v>4000</v>
      </c>
      <c r="K198" s="9"/>
      <c r="L198" s="8"/>
      <c r="M198" s="9"/>
      <c r="N198" s="8"/>
      <c r="O198" s="9"/>
      <c r="P198" s="8"/>
      <c r="Q198" s="9"/>
      <c r="R198" s="8"/>
    </row>
    <row r="199" spans="1:18" x14ac:dyDescent="0.25">
      <c r="A199" s="15" t="s">
        <v>204</v>
      </c>
      <c r="B199" s="10">
        <v>16700</v>
      </c>
      <c r="D199">
        <f t="shared" si="18"/>
        <v>16700</v>
      </c>
      <c r="E199" s="17">
        <f t="shared" si="19"/>
        <v>0</v>
      </c>
      <c r="G199" s="5" t="s">
        <v>197</v>
      </c>
      <c r="H199" s="6" t="s">
        <v>203</v>
      </c>
      <c r="I199" s="7">
        <f t="shared" si="20"/>
        <v>28200</v>
      </c>
      <c r="J199" s="8"/>
      <c r="K199" s="9"/>
      <c r="L199" s="8"/>
      <c r="M199" s="9"/>
      <c r="N199" s="8"/>
      <c r="O199" s="7">
        <v>28200</v>
      </c>
      <c r="P199" s="8"/>
      <c r="Q199" s="9"/>
      <c r="R199" s="8"/>
    </row>
    <row r="200" spans="1:18" x14ac:dyDescent="0.25">
      <c r="A200" s="15" t="s">
        <v>156</v>
      </c>
      <c r="B200" s="10">
        <v>2000</v>
      </c>
      <c r="D200">
        <f t="shared" si="18"/>
        <v>2000</v>
      </c>
      <c r="E200" s="17">
        <f t="shared" si="19"/>
        <v>0</v>
      </c>
      <c r="G200" s="5" t="s">
        <v>114</v>
      </c>
      <c r="H200" s="6" t="s">
        <v>115</v>
      </c>
      <c r="I200" s="7">
        <f t="shared" si="20"/>
        <v>1155050</v>
      </c>
      <c r="J200" s="10">
        <f>1193550-38500</f>
        <v>1155050</v>
      </c>
      <c r="K200" s="9"/>
      <c r="L200" s="8"/>
      <c r="M200" s="9"/>
      <c r="N200" s="10">
        <v>0</v>
      </c>
      <c r="O200" s="9"/>
      <c r="P200" s="8"/>
      <c r="Q200" s="9"/>
      <c r="R200" s="8"/>
    </row>
    <row r="201" spans="1:18" x14ac:dyDescent="0.25">
      <c r="A201" s="15" t="s">
        <v>205</v>
      </c>
      <c r="B201" s="10">
        <v>12000</v>
      </c>
      <c r="D201">
        <f t="shared" si="18"/>
        <v>12000</v>
      </c>
      <c r="E201" s="17">
        <f t="shared" si="19"/>
        <v>0</v>
      </c>
      <c r="G201" s="5" t="s">
        <v>116</v>
      </c>
      <c r="H201" s="6" t="s">
        <v>151</v>
      </c>
      <c r="I201" s="7">
        <f t="shared" si="20"/>
        <v>582341</v>
      </c>
      <c r="J201" s="8"/>
      <c r="K201" s="9"/>
      <c r="L201" s="8"/>
      <c r="M201" s="9"/>
      <c r="N201" s="8"/>
      <c r="O201" s="9"/>
      <c r="P201" s="8"/>
      <c r="Q201" s="7">
        <v>66817</v>
      </c>
      <c r="R201" s="10">
        <v>515524</v>
      </c>
    </row>
    <row r="202" spans="1:18" x14ac:dyDescent="0.25">
      <c r="A202" s="15" t="s">
        <v>131</v>
      </c>
      <c r="B202" s="10">
        <v>271000</v>
      </c>
      <c r="D202">
        <f t="shared" si="18"/>
        <v>271000</v>
      </c>
      <c r="E202" s="17">
        <f t="shared" si="19"/>
        <v>0</v>
      </c>
      <c r="G202" s="5" t="s">
        <v>118</v>
      </c>
      <c r="H202" s="6" t="s">
        <v>154</v>
      </c>
      <c r="I202" s="7">
        <f t="shared" si="20"/>
        <v>21000</v>
      </c>
      <c r="J202" s="8"/>
      <c r="K202" s="9"/>
      <c r="L202" s="8"/>
      <c r="M202" s="9"/>
      <c r="N202" s="8"/>
      <c r="O202" s="9"/>
      <c r="P202" s="8"/>
      <c r="Q202" s="9"/>
      <c r="R202" s="10">
        <v>21000</v>
      </c>
    </row>
    <row r="203" spans="1:18" x14ac:dyDescent="0.25">
      <c r="A203" s="15" t="s">
        <v>157</v>
      </c>
      <c r="B203" s="10">
        <v>84000</v>
      </c>
      <c r="D203">
        <f t="shared" si="18"/>
        <v>84000</v>
      </c>
      <c r="E203" s="17">
        <f t="shared" si="19"/>
        <v>0</v>
      </c>
      <c r="G203" s="5" t="s">
        <v>118</v>
      </c>
      <c r="H203" s="6" t="s">
        <v>119</v>
      </c>
      <c r="I203" s="7">
        <f t="shared" si="20"/>
        <v>12000</v>
      </c>
      <c r="J203" s="8"/>
      <c r="K203" s="9"/>
      <c r="L203" s="8"/>
      <c r="M203" s="9"/>
      <c r="N203" s="8"/>
      <c r="O203" s="9"/>
      <c r="P203" s="8"/>
      <c r="Q203" s="9"/>
      <c r="R203" s="10">
        <v>12000</v>
      </c>
    </row>
    <row r="204" spans="1:18" x14ac:dyDescent="0.25">
      <c r="A204" s="15" t="s">
        <v>106</v>
      </c>
      <c r="B204" s="10">
        <v>8462755</v>
      </c>
      <c r="D204">
        <f t="shared" si="18"/>
        <v>8462755</v>
      </c>
      <c r="E204" s="17">
        <f t="shared" si="19"/>
        <v>0</v>
      </c>
      <c r="G204" s="5" t="s">
        <v>118</v>
      </c>
      <c r="H204" s="6" t="s">
        <v>204</v>
      </c>
      <c r="I204" s="7">
        <f t="shared" si="20"/>
        <v>16700</v>
      </c>
      <c r="J204" s="8"/>
      <c r="K204" s="9"/>
      <c r="L204" s="8"/>
      <c r="M204" s="9"/>
      <c r="N204" s="8"/>
      <c r="O204" s="9"/>
      <c r="P204" s="8"/>
      <c r="Q204" s="7">
        <v>16700</v>
      </c>
      <c r="R204" s="8"/>
    </row>
    <row r="205" spans="1:18" x14ac:dyDescent="0.25">
      <c r="A205" s="15" t="s">
        <v>146</v>
      </c>
      <c r="B205" s="10">
        <v>25950</v>
      </c>
      <c r="D205">
        <f t="shared" si="18"/>
        <v>25950</v>
      </c>
      <c r="E205" s="17">
        <f t="shared" si="19"/>
        <v>0</v>
      </c>
      <c r="G205" s="5" t="s">
        <v>118</v>
      </c>
      <c r="H205" s="6" t="s">
        <v>156</v>
      </c>
      <c r="I205" s="7">
        <f t="shared" si="20"/>
        <v>2000</v>
      </c>
      <c r="J205" s="8"/>
      <c r="K205" s="9"/>
      <c r="L205" s="8"/>
      <c r="M205" s="9"/>
      <c r="N205" s="8"/>
      <c r="O205" s="9"/>
      <c r="P205" s="8"/>
      <c r="Q205" s="9"/>
      <c r="R205" s="10">
        <v>2000</v>
      </c>
    </row>
    <row r="206" spans="1:18" x14ac:dyDescent="0.25">
      <c r="A206" s="15" t="s">
        <v>151</v>
      </c>
      <c r="B206" s="10">
        <v>582341</v>
      </c>
      <c r="D206">
        <f t="shared" si="18"/>
        <v>582341</v>
      </c>
      <c r="E206" s="17">
        <f t="shared" si="19"/>
        <v>0</v>
      </c>
      <c r="G206" s="5" t="s">
        <v>118</v>
      </c>
      <c r="H206" s="6" t="s">
        <v>205</v>
      </c>
      <c r="I206" s="7">
        <f t="shared" si="20"/>
        <v>12000</v>
      </c>
      <c r="J206" s="8"/>
      <c r="K206" s="9"/>
      <c r="L206" s="8"/>
      <c r="M206" s="9"/>
      <c r="N206" s="8"/>
      <c r="O206" s="9"/>
      <c r="P206" s="8"/>
      <c r="Q206" s="9"/>
      <c r="R206" s="10">
        <v>12000</v>
      </c>
    </row>
    <row r="207" spans="1:18" x14ac:dyDescent="0.25">
      <c r="A207" s="15" t="s">
        <v>201</v>
      </c>
      <c r="B207" s="10">
        <v>1300</v>
      </c>
      <c r="D207">
        <f t="shared" si="18"/>
        <v>1300</v>
      </c>
      <c r="E207" s="17">
        <f t="shared" si="19"/>
        <v>0</v>
      </c>
      <c r="G207" s="5" t="s">
        <v>118</v>
      </c>
      <c r="H207" s="6" t="s">
        <v>157</v>
      </c>
      <c r="I207" s="7">
        <f t="shared" si="20"/>
        <v>84000</v>
      </c>
      <c r="J207" s="8"/>
      <c r="K207" s="9"/>
      <c r="L207" s="8"/>
      <c r="M207" s="9"/>
      <c r="N207" s="8"/>
      <c r="O207" s="9"/>
      <c r="P207" s="8"/>
      <c r="Q207" s="9"/>
      <c r="R207" s="10">
        <v>84000</v>
      </c>
    </row>
    <row r="208" spans="1:18" x14ac:dyDescent="0.25">
      <c r="A208" s="19" t="s">
        <v>121</v>
      </c>
      <c r="B208" s="13">
        <f>SUM(B191:B207)</f>
        <v>12095976</v>
      </c>
      <c r="D208" s="13">
        <f>SUM(D191:D207)</f>
        <v>12095976</v>
      </c>
      <c r="E208" s="13">
        <f>+B208-D208</f>
        <v>0</v>
      </c>
      <c r="G208" s="12"/>
      <c r="H208" s="19" t="s">
        <v>121</v>
      </c>
      <c r="I208" s="13">
        <f t="shared" ref="I208:R208" si="21">SUM(I191:I207)</f>
        <v>12095976</v>
      </c>
      <c r="J208" s="13">
        <f t="shared" si="21"/>
        <v>1159050</v>
      </c>
      <c r="K208" s="13">
        <f t="shared" si="21"/>
        <v>0</v>
      </c>
      <c r="L208" s="13">
        <f t="shared" si="21"/>
        <v>0</v>
      </c>
      <c r="M208" s="13">
        <f t="shared" si="21"/>
        <v>0</v>
      </c>
      <c r="N208" s="13">
        <f t="shared" si="21"/>
        <v>0</v>
      </c>
      <c r="O208" s="13">
        <f t="shared" si="21"/>
        <v>28200</v>
      </c>
      <c r="P208" s="13">
        <f t="shared" si="21"/>
        <v>0</v>
      </c>
      <c r="Q208" s="13">
        <f t="shared" si="21"/>
        <v>91914</v>
      </c>
      <c r="R208" s="13">
        <f t="shared" si="21"/>
        <v>10816812</v>
      </c>
    </row>
    <row r="209" spans="9:9" x14ac:dyDescent="0.25">
      <c r="I209" s="18">
        <f>+I208+I188+I145+I106</f>
        <v>75966282.349999994</v>
      </c>
    </row>
    <row r="210" spans="9:9" x14ac:dyDescent="0.25">
      <c r="I210">
        <v>75967032.349999994</v>
      </c>
    </row>
    <row r="211" spans="9:9" x14ac:dyDescent="0.25">
      <c r="I211" s="18">
        <f>+I210-I209</f>
        <v>750</v>
      </c>
    </row>
  </sheetData>
  <conditionalFormatting sqref="A2:A105 H2:H105">
    <cfRule type="duplicateValues" dxfId="409" priority="7"/>
  </conditionalFormatting>
  <conditionalFormatting sqref="A109:A144 H109:H144">
    <cfRule type="duplicateValues" dxfId="408" priority="9"/>
  </conditionalFormatting>
  <conditionalFormatting sqref="A148:A187 H148:H187">
    <cfRule type="duplicateValues" dxfId="407" priority="2"/>
  </conditionalFormatting>
  <conditionalFormatting sqref="A191:A207 H191:H207">
    <cfRule type="duplicateValues" dxfId="406" priority="1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opLeftCell="A22" workbookViewId="0">
      <selection activeCell="I37" sqref="I37"/>
    </sheetView>
  </sheetViews>
  <sheetFormatPr defaultRowHeight="15" x14ac:dyDescent="0.25"/>
  <cols>
    <col min="1" max="1" width="26.85546875" bestFit="1" customWidth="1"/>
    <col min="2" max="2" width="12.28515625" customWidth="1"/>
    <col min="3" max="3" width="10.42578125" customWidth="1"/>
    <col min="4" max="4" width="12.140625" bestFit="1" customWidth="1"/>
    <col min="5" max="5" width="11.7109375" customWidth="1"/>
    <col min="7" max="7" width="15" customWidth="1"/>
    <col min="8" max="8" width="30.28515625" bestFit="1" customWidth="1"/>
    <col min="9" max="9" width="14.28515625" bestFit="1" customWidth="1"/>
    <col min="10" max="10" width="12.5703125" bestFit="1" customWidth="1"/>
    <col min="11" max="11" width="11" bestFit="1" customWidth="1"/>
    <col min="12" max="12" width="10.140625" bestFit="1" customWidth="1"/>
    <col min="13" max="13" width="10" bestFit="1" customWidth="1"/>
    <col min="14" max="14" width="11" bestFit="1" customWidth="1"/>
    <col min="15" max="15" width="13.7109375" bestFit="1" customWidth="1"/>
    <col min="16" max="16" width="5.28515625" bestFit="1" customWidth="1"/>
    <col min="17" max="17" width="10" bestFit="1" customWidth="1"/>
    <col min="18" max="18" width="11" bestFit="1" customWidth="1"/>
  </cols>
  <sheetData>
    <row r="1" spans="1:18" x14ac:dyDescent="0.25">
      <c r="A1" s="1" t="s">
        <v>207</v>
      </c>
      <c r="B1" s="20" t="s">
        <v>10</v>
      </c>
      <c r="C1" s="21"/>
      <c r="D1" s="21"/>
      <c r="G1" s="12" t="s">
        <v>122</v>
      </c>
      <c r="H1" s="19" t="s">
        <v>207</v>
      </c>
      <c r="I1" s="26" t="s">
        <v>0</v>
      </c>
      <c r="J1" s="26" t="s">
        <v>1</v>
      </c>
      <c r="K1" s="26" t="s">
        <v>2</v>
      </c>
      <c r="L1" s="26" t="s">
        <v>3</v>
      </c>
      <c r="M1" s="26" t="s">
        <v>4</v>
      </c>
      <c r="N1" s="26" t="s">
        <v>5</v>
      </c>
      <c r="O1" s="26" t="s">
        <v>6</v>
      </c>
      <c r="P1" s="26" t="s">
        <v>7</v>
      </c>
      <c r="Q1" s="26" t="s">
        <v>8</v>
      </c>
      <c r="R1" s="26" t="s">
        <v>9</v>
      </c>
    </row>
    <row r="2" spans="1:18" x14ac:dyDescent="0.25">
      <c r="A2" s="15" t="s">
        <v>115</v>
      </c>
      <c r="B2" s="10">
        <v>503397</v>
      </c>
      <c r="C2" s="10"/>
      <c r="D2" s="10">
        <f>VLOOKUP(A2,$H$2:$I$3,2,0)</f>
        <v>503397</v>
      </c>
      <c r="E2" s="22">
        <f>+B2-D2</f>
        <v>0</v>
      </c>
      <c r="G2" s="5" t="s">
        <v>114</v>
      </c>
      <c r="H2" s="6" t="s">
        <v>115</v>
      </c>
      <c r="I2" s="23">
        <f>SUM(J2:R2)</f>
        <v>503397</v>
      </c>
      <c r="J2" s="24">
        <v>503397</v>
      </c>
      <c r="K2" s="25"/>
      <c r="L2" s="24"/>
      <c r="M2" s="25"/>
      <c r="N2" s="24"/>
      <c r="O2" s="25"/>
      <c r="P2" s="24"/>
      <c r="Q2" s="25"/>
      <c r="R2" s="24"/>
    </row>
    <row r="3" spans="1:18" x14ac:dyDescent="0.25">
      <c r="A3" s="15" t="s">
        <v>208</v>
      </c>
      <c r="B3" s="10">
        <v>1086175</v>
      </c>
      <c r="C3" s="10"/>
      <c r="D3" s="10">
        <f>VLOOKUP(A3,$H$2:$I$3,2,0)</f>
        <v>1086175</v>
      </c>
      <c r="E3" s="22">
        <f t="shared" ref="E3" si="0">+B3-D3</f>
        <v>0</v>
      </c>
      <c r="G3" s="5" t="s">
        <v>206</v>
      </c>
      <c r="H3" s="6" t="s">
        <v>208</v>
      </c>
      <c r="I3" s="23">
        <f t="shared" ref="I3" si="1">SUM(J3:R3)</f>
        <v>1086175</v>
      </c>
      <c r="J3" s="22">
        <v>1086175</v>
      </c>
      <c r="K3" s="22"/>
      <c r="L3" s="22"/>
      <c r="M3" s="22"/>
      <c r="N3" s="22"/>
      <c r="O3" s="22"/>
      <c r="P3" s="22"/>
      <c r="Q3" s="22"/>
      <c r="R3" s="22"/>
    </row>
    <row r="4" spans="1:18" x14ac:dyDescent="0.25">
      <c r="A4" s="19" t="s">
        <v>121</v>
      </c>
      <c r="B4" s="13">
        <f>SUM(B2:B3)</f>
        <v>1589572</v>
      </c>
      <c r="C4" s="13"/>
      <c r="D4" s="13">
        <f>SUM(D2:D3)</f>
        <v>1589572</v>
      </c>
      <c r="E4" s="25">
        <f>SUM(E2:E3)</f>
        <v>0</v>
      </c>
      <c r="G4" s="12"/>
      <c r="H4" s="12"/>
      <c r="I4" s="22">
        <f t="shared" ref="I4:R4" si="2">SUM(I2:I3)</f>
        <v>1589572</v>
      </c>
      <c r="J4" s="22">
        <f t="shared" si="2"/>
        <v>1589572</v>
      </c>
      <c r="K4" s="22">
        <f t="shared" si="2"/>
        <v>0</v>
      </c>
      <c r="L4" s="22">
        <f t="shared" si="2"/>
        <v>0</v>
      </c>
      <c r="M4" s="22">
        <f t="shared" si="2"/>
        <v>0</v>
      </c>
      <c r="N4" s="22">
        <f t="shared" si="2"/>
        <v>0</v>
      </c>
      <c r="O4" s="22">
        <f t="shared" si="2"/>
        <v>0</v>
      </c>
      <c r="P4" s="22">
        <f t="shared" si="2"/>
        <v>0</v>
      </c>
      <c r="Q4" s="22">
        <f t="shared" si="2"/>
        <v>0</v>
      </c>
      <c r="R4" s="22">
        <f t="shared" si="2"/>
        <v>0</v>
      </c>
    </row>
    <row r="7" spans="1:18" x14ac:dyDescent="0.25">
      <c r="A7" s="19" t="s">
        <v>209</v>
      </c>
      <c r="B7" s="2" t="s">
        <v>10</v>
      </c>
      <c r="G7" s="12" t="s">
        <v>122</v>
      </c>
      <c r="H7" s="19" t="s">
        <v>209</v>
      </c>
      <c r="I7" s="4" t="s">
        <v>0</v>
      </c>
      <c r="J7" s="4" t="s">
        <v>1</v>
      </c>
      <c r="K7" s="4" t="s">
        <v>2</v>
      </c>
      <c r="L7" s="4" t="s">
        <v>3</v>
      </c>
      <c r="M7" s="4" t="s">
        <v>4</v>
      </c>
      <c r="N7" s="4" t="s">
        <v>5</v>
      </c>
      <c r="O7" s="4" t="s">
        <v>6</v>
      </c>
      <c r="P7" s="4" t="s">
        <v>7</v>
      </c>
      <c r="Q7" s="4" t="s">
        <v>8</v>
      </c>
      <c r="R7" s="4" t="s">
        <v>9</v>
      </c>
    </row>
    <row r="8" spans="1:18" x14ac:dyDescent="0.25">
      <c r="A8" s="15" t="s">
        <v>214</v>
      </c>
      <c r="B8" s="10">
        <v>2893087.36</v>
      </c>
      <c r="D8" s="12">
        <f t="shared" ref="D8:D17" si="3">VLOOKUP(A8,$H$8:$I$17,2,0)</f>
        <v>2893087.36</v>
      </c>
      <c r="E8" s="22">
        <f t="shared" ref="E8:E17" si="4">+B8-D8</f>
        <v>0</v>
      </c>
      <c r="G8" s="5" t="s">
        <v>210</v>
      </c>
      <c r="H8" s="27" t="s">
        <v>211</v>
      </c>
      <c r="I8" s="9">
        <f t="shared" ref="I8:I17" si="5">SUM(J8:R8)</f>
        <v>430700</v>
      </c>
      <c r="J8" s="10">
        <v>430700</v>
      </c>
      <c r="K8" s="9"/>
      <c r="L8" s="8"/>
      <c r="M8" s="9"/>
      <c r="N8" s="8"/>
      <c r="O8" s="9"/>
      <c r="P8" s="8"/>
      <c r="Q8" s="9"/>
      <c r="R8" s="8"/>
    </row>
    <row r="9" spans="1:18" x14ac:dyDescent="0.25">
      <c r="A9" s="15" t="s">
        <v>211</v>
      </c>
      <c r="B9" s="10">
        <v>430700</v>
      </c>
      <c r="D9" s="12">
        <f t="shared" si="3"/>
        <v>430700</v>
      </c>
      <c r="E9" s="22">
        <f t="shared" si="4"/>
        <v>0</v>
      </c>
      <c r="G9" s="5" t="s">
        <v>210</v>
      </c>
      <c r="H9" s="27" t="s">
        <v>212</v>
      </c>
      <c r="I9" s="9">
        <f t="shared" si="5"/>
        <v>475</v>
      </c>
      <c r="J9" s="8"/>
      <c r="K9" s="9"/>
      <c r="L9" s="8"/>
      <c r="M9" s="7">
        <v>475</v>
      </c>
      <c r="N9" s="8"/>
      <c r="O9" s="9"/>
      <c r="P9" s="8"/>
      <c r="Q9" s="9"/>
      <c r="R9" s="8"/>
    </row>
    <row r="10" spans="1:18" x14ac:dyDescent="0.25">
      <c r="A10" s="15" t="s">
        <v>215</v>
      </c>
      <c r="B10" s="10">
        <v>9289726</v>
      </c>
      <c r="D10" s="12">
        <f t="shared" si="3"/>
        <v>9289726</v>
      </c>
      <c r="E10" s="22">
        <f t="shared" si="4"/>
        <v>0</v>
      </c>
      <c r="G10" s="5" t="s">
        <v>213</v>
      </c>
      <c r="H10" s="27" t="s">
        <v>214</v>
      </c>
      <c r="I10" s="9">
        <f t="shared" si="5"/>
        <v>2893087.36</v>
      </c>
      <c r="J10" s="8"/>
      <c r="K10" s="7">
        <v>2893087.36</v>
      </c>
      <c r="L10" s="8"/>
      <c r="M10" s="9"/>
      <c r="N10" s="8"/>
      <c r="O10" s="9"/>
      <c r="P10" s="8"/>
      <c r="Q10" s="9"/>
      <c r="R10" s="8"/>
    </row>
    <row r="11" spans="1:18" x14ac:dyDescent="0.25">
      <c r="A11" s="15" t="s">
        <v>216</v>
      </c>
      <c r="B11" s="10">
        <v>5070634</v>
      </c>
      <c r="D11" s="12">
        <f t="shared" si="3"/>
        <v>5070634</v>
      </c>
      <c r="E11" s="22">
        <f t="shared" si="4"/>
        <v>0</v>
      </c>
      <c r="G11" s="5" t="s">
        <v>213</v>
      </c>
      <c r="H11" s="27" t="s">
        <v>215</v>
      </c>
      <c r="I11" s="9">
        <f t="shared" si="5"/>
        <v>9289726</v>
      </c>
      <c r="J11" s="10">
        <v>9289726</v>
      </c>
      <c r="K11" s="9"/>
      <c r="L11" s="8"/>
      <c r="M11" s="9"/>
      <c r="N11" s="8"/>
      <c r="O11" s="9"/>
      <c r="P11" s="8"/>
      <c r="Q11" s="9"/>
      <c r="R11" s="8"/>
    </row>
    <row r="12" spans="1:18" x14ac:dyDescent="0.25">
      <c r="A12" s="15" t="s">
        <v>217</v>
      </c>
      <c r="B12" s="10">
        <v>96900</v>
      </c>
      <c r="D12" s="12">
        <f t="shared" si="3"/>
        <v>96900</v>
      </c>
      <c r="E12" s="22">
        <f t="shared" si="4"/>
        <v>0</v>
      </c>
      <c r="G12" s="5" t="s">
        <v>213</v>
      </c>
      <c r="H12" s="27" t="s">
        <v>216</v>
      </c>
      <c r="I12" s="9">
        <f t="shared" si="5"/>
        <v>5070634</v>
      </c>
      <c r="J12" s="10">
        <v>1514350</v>
      </c>
      <c r="K12" s="7">
        <v>3556284</v>
      </c>
      <c r="L12" s="8"/>
      <c r="M12" s="9"/>
      <c r="N12" s="8"/>
      <c r="O12" s="9"/>
      <c r="P12" s="8"/>
      <c r="Q12" s="9"/>
      <c r="R12" s="8"/>
    </row>
    <row r="13" spans="1:18" x14ac:dyDescent="0.25">
      <c r="A13" s="15" t="s">
        <v>223</v>
      </c>
      <c r="B13" s="10">
        <v>14565</v>
      </c>
      <c r="D13" s="12">
        <f t="shared" si="3"/>
        <v>14565</v>
      </c>
      <c r="E13" s="22">
        <f t="shared" si="4"/>
        <v>0</v>
      </c>
      <c r="G13" s="5" t="s">
        <v>213</v>
      </c>
      <c r="H13" s="27" t="s">
        <v>217</v>
      </c>
      <c r="I13" s="9">
        <f t="shared" si="5"/>
        <v>96900</v>
      </c>
      <c r="J13" s="10">
        <v>96900</v>
      </c>
      <c r="K13" s="9"/>
      <c r="L13" s="8"/>
      <c r="M13" s="9"/>
      <c r="N13" s="8"/>
      <c r="O13" s="9"/>
      <c r="P13" s="8"/>
      <c r="Q13" s="9"/>
      <c r="R13" s="8"/>
    </row>
    <row r="14" spans="1:18" x14ac:dyDescent="0.25">
      <c r="A14" s="15" t="s">
        <v>219</v>
      </c>
      <c r="B14" s="10">
        <v>2430726</v>
      </c>
      <c r="D14" s="12">
        <f t="shared" si="3"/>
        <v>2430726</v>
      </c>
      <c r="E14" s="22">
        <f t="shared" si="4"/>
        <v>0</v>
      </c>
      <c r="G14" s="5" t="s">
        <v>213</v>
      </c>
      <c r="H14" s="27" t="s">
        <v>219</v>
      </c>
      <c r="I14" s="9">
        <f t="shared" si="5"/>
        <v>2430726</v>
      </c>
      <c r="J14" s="10">
        <v>2430726</v>
      </c>
      <c r="K14" s="9"/>
      <c r="L14" s="8"/>
      <c r="M14" s="9"/>
      <c r="N14" s="8"/>
      <c r="O14" s="9"/>
      <c r="P14" s="8"/>
      <c r="Q14" s="9"/>
      <c r="R14" s="8"/>
    </row>
    <row r="15" spans="1:18" x14ac:dyDescent="0.25">
      <c r="A15" s="15" t="s">
        <v>221</v>
      </c>
      <c r="B15" s="10">
        <v>3159329</v>
      </c>
      <c r="D15" s="12">
        <f t="shared" si="3"/>
        <v>3159329</v>
      </c>
      <c r="E15" s="22">
        <f t="shared" si="4"/>
        <v>0</v>
      </c>
      <c r="G15" s="5" t="s">
        <v>220</v>
      </c>
      <c r="H15" s="27" t="s">
        <v>221</v>
      </c>
      <c r="I15" s="9">
        <f t="shared" si="5"/>
        <v>3159329</v>
      </c>
      <c r="J15" s="10">
        <v>3159329</v>
      </c>
      <c r="K15" s="9"/>
      <c r="L15" s="8"/>
      <c r="M15" s="9"/>
      <c r="N15" s="8"/>
      <c r="O15" s="9"/>
      <c r="P15" s="8"/>
      <c r="Q15" s="9"/>
      <c r="R15" s="8"/>
    </row>
    <row r="16" spans="1:18" x14ac:dyDescent="0.25">
      <c r="A16" s="15" t="s">
        <v>212</v>
      </c>
      <c r="B16" s="10">
        <v>475</v>
      </c>
      <c r="D16" s="12">
        <f t="shared" si="3"/>
        <v>475</v>
      </c>
      <c r="E16" s="22">
        <f t="shared" si="4"/>
        <v>0</v>
      </c>
      <c r="G16" s="5" t="s">
        <v>220</v>
      </c>
      <c r="H16" s="27" t="s">
        <v>222</v>
      </c>
      <c r="I16" s="9">
        <f t="shared" si="5"/>
        <v>2685011</v>
      </c>
      <c r="J16" s="8"/>
      <c r="K16" s="7">
        <v>683100</v>
      </c>
      <c r="L16" s="8"/>
      <c r="M16" s="7">
        <v>892375</v>
      </c>
      <c r="N16" s="10">
        <v>1109536</v>
      </c>
      <c r="O16" s="9"/>
      <c r="P16" s="8"/>
      <c r="Q16" s="9"/>
      <c r="R16" s="8"/>
    </row>
    <row r="17" spans="1:19" x14ac:dyDescent="0.25">
      <c r="A17" s="15" t="s">
        <v>222</v>
      </c>
      <c r="B17" s="10">
        <v>2685011</v>
      </c>
      <c r="D17" s="12">
        <f t="shared" si="3"/>
        <v>2685011</v>
      </c>
      <c r="E17" s="22">
        <f t="shared" si="4"/>
        <v>0</v>
      </c>
      <c r="G17" s="5" t="s">
        <v>206</v>
      </c>
      <c r="H17" s="27" t="s">
        <v>223</v>
      </c>
      <c r="I17" s="9">
        <f t="shared" si="5"/>
        <v>14565</v>
      </c>
      <c r="J17" s="8"/>
      <c r="K17" s="7">
        <v>14565</v>
      </c>
      <c r="L17" s="8"/>
      <c r="M17" s="9"/>
      <c r="N17" s="8"/>
      <c r="O17" s="9"/>
      <c r="P17" s="8"/>
      <c r="Q17" s="9"/>
      <c r="R17" s="8"/>
    </row>
    <row r="18" spans="1:19" x14ac:dyDescent="0.25">
      <c r="A18" s="19" t="s">
        <v>121</v>
      </c>
      <c r="B18" s="13">
        <f>SUM(B8:B17)</f>
        <v>26071153.359999999</v>
      </c>
      <c r="D18" s="13">
        <f t="shared" ref="D18:E18" si="6">SUM(D8:D17)</f>
        <v>26071153.359999999</v>
      </c>
      <c r="E18" s="13">
        <f t="shared" si="6"/>
        <v>0</v>
      </c>
      <c r="G18" s="12"/>
      <c r="H18" s="19" t="s">
        <v>121</v>
      </c>
      <c r="I18" s="13">
        <f t="shared" ref="I18:R18" si="7">SUM(I8:I17)</f>
        <v>26071153.359999999</v>
      </c>
      <c r="J18" s="13">
        <f t="shared" si="7"/>
        <v>16921731</v>
      </c>
      <c r="K18" s="13">
        <f t="shared" si="7"/>
        <v>7147036.3599999994</v>
      </c>
      <c r="L18" s="13">
        <f t="shared" si="7"/>
        <v>0</v>
      </c>
      <c r="M18" s="13">
        <f t="shared" si="7"/>
        <v>892850</v>
      </c>
      <c r="N18" s="13">
        <f t="shared" si="7"/>
        <v>1109536</v>
      </c>
      <c r="O18" s="13">
        <f t="shared" si="7"/>
        <v>0</v>
      </c>
      <c r="P18" s="13">
        <f t="shared" si="7"/>
        <v>0</v>
      </c>
      <c r="Q18" s="13">
        <f t="shared" si="7"/>
        <v>0</v>
      </c>
      <c r="R18" s="13">
        <f t="shared" si="7"/>
        <v>0</v>
      </c>
    </row>
    <row r="21" spans="1:19" x14ac:dyDescent="0.25">
      <c r="A21" s="19" t="s">
        <v>224</v>
      </c>
      <c r="B21" s="2" t="s">
        <v>10</v>
      </c>
      <c r="G21" s="12" t="s">
        <v>122</v>
      </c>
      <c r="H21" s="19" t="s">
        <v>224</v>
      </c>
      <c r="I21" s="4" t="s">
        <v>0</v>
      </c>
      <c r="J21" s="4" t="s">
        <v>1</v>
      </c>
      <c r="K21" s="4" t="s">
        <v>2</v>
      </c>
      <c r="L21" s="4" t="s">
        <v>3</v>
      </c>
      <c r="M21" s="4" t="s">
        <v>4</v>
      </c>
      <c r="N21" s="4" t="s">
        <v>5</v>
      </c>
      <c r="O21" s="4" t="s">
        <v>6</v>
      </c>
      <c r="P21" s="4" t="s">
        <v>7</v>
      </c>
      <c r="Q21" s="4" t="s">
        <v>8</v>
      </c>
      <c r="R21" s="4" t="s">
        <v>9</v>
      </c>
    </row>
    <row r="22" spans="1:19" x14ac:dyDescent="0.25">
      <c r="A22" s="15" t="s">
        <v>214</v>
      </c>
      <c r="B22" s="10">
        <v>3013130</v>
      </c>
      <c r="D22" s="12">
        <f t="shared" ref="D22:D27" si="8">VLOOKUP(A22,$H$22:$I$27,2,0)</f>
        <v>3013130</v>
      </c>
      <c r="E22" s="22">
        <f t="shared" ref="E22:E27" si="9">+B22-D22</f>
        <v>0</v>
      </c>
      <c r="G22" s="5" t="s">
        <v>213</v>
      </c>
      <c r="H22" s="27" t="s">
        <v>214</v>
      </c>
      <c r="I22" s="7">
        <f>SUM(J22:R22)</f>
        <v>3013130</v>
      </c>
      <c r="J22" s="10">
        <v>572360</v>
      </c>
      <c r="K22" s="7">
        <v>2440770</v>
      </c>
      <c r="L22" s="8"/>
      <c r="M22" s="9"/>
      <c r="N22" s="8"/>
      <c r="O22" s="9"/>
      <c r="P22" s="8"/>
      <c r="Q22" s="9"/>
      <c r="R22" s="8"/>
    </row>
    <row r="23" spans="1:19" x14ac:dyDescent="0.25">
      <c r="A23" s="15" t="s">
        <v>208</v>
      </c>
      <c r="B23" s="10">
        <v>2738425</v>
      </c>
      <c r="D23" s="12">
        <f t="shared" si="8"/>
        <v>2738425</v>
      </c>
      <c r="E23" s="22">
        <f t="shared" si="9"/>
        <v>0</v>
      </c>
      <c r="G23" s="5" t="s">
        <v>213</v>
      </c>
      <c r="H23" s="27" t="s">
        <v>215</v>
      </c>
      <c r="I23" s="7">
        <f t="shared" ref="I23:I27" si="10">SUM(J23:R23)</f>
        <v>1311295</v>
      </c>
      <c r="J23" s="8"/>
      <c r="K23" s="7">
        <f>1327500-16205</f>
        <v>1311295</v>
      </c>
      <c r="L23" s="8"/>
      <c r="M23" s="9"/>
      <c r="N23" s="8"/>
      <c r="O23" s="9"/>
      <c r="P23" s="8"/>
      <c r="Q23" s="9"/>
      <c r="R23" s="8"/>
    </row>
    <row r="24" spans="1:19" x14ac:dyDescent="0.25">
      <c r="A24" s="15" t="s">
        <v>215</v>
      </c>
      <c r="B24" s="10">
        <v>1311295</v>
      </c>
      <c r="D24" s="12">
        <f t="shared" si="8"/>
        <v>1311295</v>
      </c>
      <c r="E24" s="22">
        <f t="shared" si="9"/>
        <v>0</v>
      </c>
      <c r="G24" s="5" t="s">
        <v>213</v>
      </c>
      <c r="H24" s="27" t="s">
        <v>218</v>
      </c>
      <c r="I24" s="7">
        <f t="shared" si="10"/>
        <v>3252785</v>
      </c>
      <c r="J24" s="10">
        <v>3252785</v>
      </c>
      <c r="K24" s="9"/>
      <c r="L24" s="8"/>
      <c r="M24" s="9"/>
      <c r="N24" s="8"/>
      <c r="O24" s="9"/>
      <c r="P24" s="8"/>
      <c r="Q24" s="9"/>
      <c r="R24" s="8"/>
    </row>
    <row r="25" spans="1:19" x14ac:dyDescent="0.25">
      <c r="A25" s="15" t="s">
        <v>218</v>
      </c>
      <c r="B25" s="10">
        <v>3252785</v>
      </c>
      <c r="D25" s="12">
        <f t="shared" si="8"/>
        <v>3252785</v>
      </c>
      <c r="E25" s="22">
        <f t="shared" si="9"/>
        <v>0</v>
      </c>
      <c r="G25" s="5" t="s">
        <v>213</v>
      </c>
      <c r="H25" s="27" t="s">
        <v>219</v>
      </c>
      <c r="I25" s="7">
        <f t="shared" si="10"/>
        <v>234300</v>
      </c>
      <c r="J25" s="10">
        <v>234300</v>
      </c>
      <c r="K25" s="9"/>
      <c r="L25" s="8"/>
      <c r="M25" s="9"/>
      <c r="N25" s="8"/>
      <c r="O25" s="9"/>
      <c r="P25" s="8"/>
      <c r="Q25" s="9"/>
      <c r="R25" s="8"/>
    </row>
    <row r="26" spans="1:19" x14ac:dyDescent="0.25">
      <c r="A26" s="15" t="s">
        <v>219</v>
      </c>
      <c r="B26" s="10">
        <v>234300</v>
      </c>
      <c r="D26" s="12">
        <f t="shared" si="8"/>
        <v>234300</v>
      </c>
      <c r="E26" s="22">
        <f t="shared" si="9"/>
        <v>0</v>
      </c>
      <c r="G26" s="5" t="s">
        <v>220</v>
      </c>
      <c r="H26" s="27" t="s">
        <v>221</v>
      </c>
      <c r="I26" s="7">
        <f t="shared" si="10"/>
        <v>3484675</v>
      </c>
      <c r="J26" s="10">
        <v>3484675</v>
      </c>
      <c r="K26" s="9"/>
      <c r="L26" s="8"/>
      <c r="M26" s="9"/>
      <c r="N26" s="8"/>
      <c r="O26" s="9"/>
      <c r="P26" s="8"/>
      <c r="Q26" s="9"/>
      <c r="R26" s="8"/>
    </row>
    <row r="27" spans="1:19" x14ac:dyDescent="0.25">
      <c r="A27" s="15" t="s">
        <v>221</v>
      </c>
      <c r="B27" s="10">
        <v>3484675</v>
      </c>
      <c r="D27" s="12">
        <f t="shared" si="8"/>
        <v>3484675</v>
      </c>
      <c r="E27" s="22">
        <f t="shared" si="9"/>
        <v>0</v>
      </c>
      <c r="G27" s="5" t="s">
        <v>206</v>
      </c>
      <c r="H27" s="28" t="s">
        <v>208</v>
      </c>
      <c r="I27" s="7">
        <f t="shared" si="10"/>
        <v>2738425</v>
      </c>
      <c r="J27" s="10">
        <v>2738425</v>
      </c>
      <c r="K27" s="9"/>
      <c r="L27" s="8"/>
      <c r="M27" s="9"/>
      <c r="N27" s="8"/>
      <c r="O27" s="9"/>
      <c r="P27" s="8"/>
      <c r="Q27" s="9"/>
      <c r="R27" s="8"/>
    </row>
    <row r="28" spans="1:19" x14ac:dyDescent="0.25">
      <c r="A28" s="19" t="s">
        <v>121</v>
      </c>
      <c r="B28" s="13">
        <f>SUM(B22:B27)</f>
        <v>14034610</v>
      </c>
      <c r="D28" s="13">
        <f t="shared" ref="D28:E28" si="11">SUM(D22:D27)</f>
        <v>14034610</v>
      </c>
      <c r="E28" s="13">
        <f t="shared" si="11"/>
        <v>0</v>
      </c>
      <c r="G28" s="12"/>
      <c r="H28" s="19" t="s">
        <v>121</v>
      </c>
      <c r="I28" s="13">
        <f>SUM(I22:I27)</f>
        <v>14034610</v>
      </c>
      <c r="J28" s="13">
        <f t="shared" ref="J28:K28" si="12">SUM(J22:J27)</f>
        <v>10282545</v>
      </c>
      <c r="K28" s="13">
        <f t="shared" si="12"/>
        <v>3752065</v>
      </c>
      <c r="L28" s="29"/>
      <c r="M28" s="30"/>
      <c r="N28" s="29"/>
      <c r="O28" s="30"/>
      <c r="P28" s="29"/>
      <c r="Q28" s="30"/>
      <c r="R28" s="29"/>
      <c r="S28" s="18">
        <f>+D28-I28</f>
        <v>0</v>
      </c>
    </row>
    <row r="30" spans="1:19" x14ac:dyDescent="0.25">
      <c r="A30" s="19" t="s">
        <v>292</v>
      </c>
      <c r="B30" s="2" t="s">
        <v>10</v>
      </c>
      <c r="G30" s="12" t="s">
        <v>122</v>
      </c>
      <c r="H30" s="19" t="s">
        <v>292</v>
      </c>
      <c r="I30" s="4" t="s">
        <v>0</v>
      </c>
      <c r="J30" s="4" t="s">
        <v>1</v>
      </c>
      <c r="K30" s="4" t="s">
        <v>2</v>
      </c>
      <c r="L30" s="4" t="s">
        <v>3</v>
      </c>
      <c r="M30" s="4" t="s">
        <v>4</v>
      </c>
      <c r="N30" s="4" t="s">
        <v>5</v>
      </c>
      <c r="O30" s="4" t="s">
        <v>6</v>
      </c>
      <c r="P30" s="4" t="s">
        <v>7</v>
      </c>
      <c r="Q30" s="4" t="s">
        <v>8</v>
      </c>
      <c r="R30" s="4" t="s">
        <v>9</v>
      </c>
    </row>
    <row r="31" spans="1:19" x14ac:dyDescent="0.25">
      <c r="A31" s="15" t="s">
        <v>293</v>
      </c>
      <c r="B31" s="10">
        <v>1874174</v>
      </c>
      <c r="D31" s="12">
        <f>+VLOOKUP(A31,$H$31:$I$34,2,0)</f>
        <v>1874174</v>
      </c>
      <c r="E31" s="22">
        <f>+B31-D31</f>
        <v>0</v>
      </c>
      <c r="G31" s="5" t="s">
        <v>210</v>
      </c>
      <c r="H31" s="6" t="s">
        <v>294</v>
      </c>
      <c r="I31" s="7">
        <v>190900</v>
      </c>
      <c r="J31" s="8"/>
      <c r="K31" s="9"/>
      <c r="L31" s="8"/>
      <c r="M31" s="7">
        <v>190900</v>
      </c>
      <c r="N31" s="8"/>
      <c r="O31" s="9"/>
      <c r="P31" s="8"/>
      <c r="Q31" s="9"/>
      <c r="R31" s="8"/>
    </row>
    <row r="32" spans="1:19" x14ac:dyDescent="0.25">
      <c r="A32" s="15" t="s">
        <v>294</v>
      </c>
      <c r="B32" s="10">
        <v>190900</v>
      </c>
      <c r="D32" s="12">
        <f>+VLOOKUP(A32,$H$31:$I$34,2,0)</f>
        <v>190900</v>
      </c>
      <c r="E32" s="22">
        <f t="shared" ref="E32:E34" si="13">+B32-D32</f>
        <v>0</v>
      </c>
      <c r="G32" s="5" t="s">
        <v>41</v>
      </c>
      <c r="H32" s="6" t="s">
        <v>293</v>
      </c>
      <c r="I32" s="7">
        <v>1874174</v>
      </c>
      <c r="J32" s="8"/>
      <c r="K32" s="9"/>
      <c r="L32" s="8"/>
      <c r="M32" s="9"/>
      <c r="N32" s="8"/>
      <c r="O32" s="9"/>
      <c r="P32" s="8"/>
      <c r="Q32" s="9"/>
      <c r="R32" s="10">
        <v>1874174</v>
      </c>
    </row>
    <row r="33" spans="1:18" x14ac:dyDescent="0.25">
      <c r="A33" s="15" t="s">
        <v>295</v>
      </c>
      <c r="B33" s="10">
        <v>985733</v>
      </c>
      <c r="D33" s="12">
        <f>+VLOOKUP(A33,$H$31:$I$34,2,0)</f>
        <v>985733</v>
      </c>
      <c r="E33" s="22">
        <f t="shared" si="13"/>
        <v>0</v>
      </c>
      <c r="G33" s="5" t="s">
        <v>296</v>
      </c>
      <c r="H33" s="6" t="s">
        <v>295</v>
      </c>
      <c r="I33" s="7">
        <v>985733</v>
      </c>
      <c r="J33" s="8"/>
      <c r="K33" s="9"/>
      <c r="L33" s="8"/>
      <c r="M33" s="9"/>
      <c r="N33" s="8"/>
      <c r="O33" s="9"/>
      <c r="P33" s="8"/>
      <c r="Q33" s="7">
        <v>985733</v>
      </c>
      <c r="R33" s="8"/>
    </row>
    <row r="34" spans="1:18" x14ac:dyDescent="0.25">
      <c r="A34" s="15" t="s">
        <v>222</v>
      </c>
      <c r="B34" s="10">
        <v>832050</v>
      </c>
      <c r="D34" s="12">
        <f>+VLOOKUP(A34,$H$31:$I$34,2,0)</f>
        <v>832050</v>
      </c>
      <c r="E34" s="22">
        <f t="shared" si="13"/>
        <v>0</v>
      </c>
      <c r="G34" s="5" t="s">
        <v>220</v>
      </c>
      <c r="H34" s="6" t="s">
        <v>222</v>
      </c>
      <c r="I34" s="7">
        <v>832050</v>
      </c>
      <c r="J34" s="8"/>
      <c r="K34" s="9"/>
      <c r="L34" s="8"/>
      <c r="M34" s="7">
        <v>668100</v>
      </c>
      <c r="N34" s="8"/>
      <c r="O34" s="7">
        <v>163950</v>
      </c>
      <c r="P34" s="8"/>
      <c r="Q34" s="9"/>
      <c r="R34" s="8"/>
    </row>
    <row r="35" spans="1:18" x14ac:dyDescent="0.25">
      <c r="A35" s="19" t="s">
        <v>121</v>
      </c>
      <c r="B35" s="13">
        <f>SUM(B31:B34)</f>
        <v>3882857</v>
      </c>
      <c r="D35" s="25">
        <f t="shared" ref="D35:E35" si="14">SUM(D31:D34)</f>
        <v>3882857</v>
      </c>
      <c r="E35" s="25">
        <f t="shared" si="14"/>
        <v>0</v>
      </c>
      <c r="G35" s="12"/>
      <c r="H35" s="19" t="s">
        <v>121</v>
      </c>
      <c r="I35" s="13">
        <v>3882857</v>
      </c>
      <c r="J35" s="29"/>
      <c r="K35" s="30"/>
      <c r="L35" s="29"/>
      <c r="M35" s="13">
        <v>859000</v>
      </c>
      <c r="N35" s="29"/>
      <c r="O35" s="13">
        <v>163950</v>
      </c>
      <c r="P35" s="29"/>
      <c r="Q35" s="13">
        <v>985733</v>
      </c>
      <c r="R35" s="14">
        <v>1874174</v>
      </c>
    </row>
    <row r="37" spans="1:18" x14ac:dyDescent="0.25">
      <c r="I37" s="34">
        <f>I35+I28+I18+I4</f>
        <v>45578192.359999999</v>
      </c>
    </row>
  </sheetData>
  <conditionalFormatting sqref="A2:A3 H2:H3">
    <cfRule type="duplicateValues" dxfId="405" priority="5"/>
  </conditionalFormatting>
  <conditionalFormatting sqref="A8:A17 H8:H17">
    <cfRule type="duplicateValues" dxfId="404" priority="21"/>
  </conditionalFormatting>
  <conditionalFormatting sqref="A22:A27 H22:H27">
    <cfRule type="duplicateValues" dxfId="403" priority="22"/>
  </conditionalFormatting>
  <conditionalFormatting sqref="A31:A34 H31:H34">
    <cfRule type="duplicateValues" dxfId="40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selection activeCell="A23" sqref="A23"/>
    </sheetView>
  </sheetViews>
  <sheetFormatPr defaultRowHeight="15" x14ac:dyDescent="0.25"/>
  <cols>
    <col min="1" max="1" width="39" bestFit="1" customWidth="1"/>
    <col min="2" max="2" width="11.42578125" bestFit="1" customWidth="1"/>
    <col min="4" max="4" width="11.140625" customWidth="1"/>
    <col min="7" max="7" width="14.140625" customWidth="1"/>
    <col min="8" max="8" width="41.85546875" bestFit="1" customWidth="1"/>
    <col min="9" max="9" width="11.42578125" bestFit="1" customWidth="1"/>
    <col min="10" max="10" width="12" bestFit="1" customWidth="1"/>
    <col min="11" max="11" width="11" bestFit="1" customWidth="1"/>
    <col min="12" max="12" width="10" bestFit="1" customWidth="1"/>
    <col min="13" max="14" width="5.140625" bestFit="1" customWidth="1"/>
    <col min="15" max="15" width="7.42578125" bestFit="1" customWidth="1"/>
    <col min="16" max="16" width="9.7109375" customWidth="1"/>
    <col min="17" max="17" width="10" customWidth="1"/>
    <col min="18" max="18" width="5.140625" bestFit="1" customWidth="1"/>
    <col min="19" max="19" width="11.5703125" bestFit="1" customWidth="1"/>
  </cols>
  <sheetData>
    <row r="1" spans="1:20" x14ac:dyDescent="0.25">
      <c r="A1" s="19" t="s">
        <v>225</v>
      </c>
      <c r="B1" s="2" t="s">
        <v>10</v>
      </c>
      <c r="G1" s="12" t="s">
        <v>122</v>
      </c>
      <c r="H1" s="19" t="s">
        <v>225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</row>
    <row r="2" spans="1:20" x14ac:dyDescent="0.25">
      <c r="A2" s="15" t="s">
        <v>226</v>
      </c>
      <c r="B2" s="10">
        <v>340</v>
      </c>
      <c r="D2">
        <f>VLOOKUP(A2,$H$2:$I$15,2,0)</f>
        <v>340</v>
      </c>
      <c r="E2" s="31">
        <f>+B2-D2</f>
        <v>0</v>
      </c>
      <c r="G2" s="5" t="s">
        <v>240</v>
      </c>
      <c r="H2" s="27" t="s">
        <v>227</v>
      </c>
      <c r="I2" s="7">
        <f>SUM(J2:R2)</f>
        <v>5607262.1500000004</v>
      </c>
      <c r="J2" s="10">
        <v>4005000</v>
      </c>
      <c r="K2" s="7">
        <v>1235900</v>
      </c>
      <c r="L2" s="10">
        <v>366362.15</v>
      </c>
      <c r="M2" s="9"/>
      <c r="N2" s="8"/>
      <c r="O2" s="9"/>
      <c r="P2" s="8"/>
      <c r="Q2" s="9"/>
      <c r="R2" s="8"/>
    </row>
    <row r="3" spans="1:20" x14ac:dyDescent="0.25">
      <c r="A3" s="15" t="s">
        <v>227</v>
      </c>
      <c r="B3" s="10">
        <v>5607262.1500000004</v>
      </c>
      <c r="D3">
        <f t="shared" ref="D3:D15" si="0">VLOOKUP(A3,$H$2:$I$15,2,0)</f>
        <v>5607262.1500000004</v>
      </c>
      <c r="E3" s="31">
        <f t="shared" ref="E3:E15" si="1">+B3-D3</f>
        <v>0</v>
      </c>
      <c r="G3" s="5" t="s">
        <v>240</v>
      </c>
      <c r="H3" s="27" t="s">
        <v>232</v>
      </c>
      <c r="I3" s="7">
        <f t="shared" ref="I3:I15" si="2">SUM(J3:R3)</f>
        <v>5742269.7800000003</v>
      </c>
      <c r="J3" s="10">
        <v>5742269.7800000003</v>
      </c>
      <c r="K3" s="9"/>
      <c r="L3" s="8"/>
      <c r="M3" s="9"/>
      <c r="N3" s="8"/>
      <c r="O3" s="9"/>
      <c r="P3" s="8"/>
      <c r="Q3" s="9"/>
      <c r="R3" s="8"/>
    </row>
    <row r="4" spans="1:20" x14ac:dyDescent="0.25">
      <c r="A4" s="15" t="s">
        <v>228</v>
      </c>
      <c r="B4" s="10">
        <v>700</v>
      </c>
      <c r="D4">
        <f t="shared" si="0"/>
        <v>700</v>
      </c>
      <c r="E4" s="31">
        <f t="shared" si="1"/>
        <v>0</v>
      </c>
      <c r="G4" s="5" t="s">
        <v>240</v>
      </c>
      <c r="H4" s="28" t="s">
        <v>233</v>
      </c>
      <c r="I4" s="7">
        <f t="shared" si="2"/>
        <v>812230.48</v>
      </c>
      <c r="J4" s="10">
        <v>812230.48</v>
      </c>
      <c r="K4" s="9"/>
      <c r="L4" s="8"/>
      <c r="M4" s="9"/>
      <c r="N4" s="8"/>
      <c r="O4" s="9"/>
      <c r="P4" s="8"/>
      <c r="Q4" s="9"/>
      <c r="R4" s="8"/>
    </row>
    <row r="5" spans="1:20" x14ac:dyDescent="0.25">
      <c r="A5" s="15" t="s">
        <v>229</v>
      </c>
      <c r="B5" s="10">
        <v>60000</v>
      </c>
      <c r="D5">
        <f t="shared" si="0"/>
        <v>60000</v>
      </c>
      <c r="E5" s="31">
        <f t="shared" si="1"/>
        <v>0</v>
      </c>
      <c r="G5" s="5" t="s">
        <v>241</v>
      </c>
      <c r="H5" s="28" t="s">
        <v>236</v>
      </c>
      <c r="I5" s="7">
        <f t="shared" si="2"/>
        <v>417103</v>
      </c>
      <c r="J5" s="10">
        <v>417103</v>
      </c>
      <c r="K5" s="9"/>
      <c r="L5" s="8"/>
      <c r="M5" s="9"/>
      <c r="N5" s="8"/>
      <c r="O5" s="9"/>
      <c r="P5" s="8"/>
      <c r="Q5" s="9"/>
      <c r="R5" s="8"/>
    </row>
    <row r="6" spans="1:20" x14ac:dyDescent="0.25">
      <c r="A6" s="15" t="s">
        <v>230</v>
      </c>
      <c r="B6" s="10">
        <v>5200</v>
      </c>
      <c r="D6">
        <f t="shared" si="0"/>
        <v>5200</v>
      </c>
      <c r="E6" s="31">
        <f t="shared" si="1"/>
        <v>0</v>
      </c>
      <c r="G6" s="5" t="s">
        <v>197</v>
      </c>
      <c r="H6" s="27" t="s">
        <v>231</v>
      </c>
      <c r="I6" s="7">
        <f t="shared" si="2"/>
        <v>65500</v>
      </c>
      <c r="J6" s="8"/>
      <c r="K6" s="7">
        <v>65500</v>
      </c>
      <c r="L6" s="8"/>
      <c r="M6" s="9"/>
      <c r="N6" s="8"/>
      <c r="O6" s="9"/>
      <c r="P6" s="8"/>
      <c r="Q6" s="9"/>
      <c r="R6" s="8"/>
    </row>
    <row r="7" spans="1:20" x14ac:dyDescent="0.25">
      <c r="A7" s="15" t="s">
        <v>231</v>
      </c>
      <c r="B7" s="10">
        <v>65500</v>
      </c>
      <c r="D7">
        <f t="shared" si="0"/>
        <v>65500</v>
      </c>
      <c r="E7" s="31">
        <f t="shared" si="1"/>
        <v>0</v>
      </c>
      <c r="G7" s="5" t="s">
        <v>197</v>
      </c>
      <c r="H7" s="28" t="s">
        <v>235</v>
      </c>
      <c r="I7" s="7">
        <f t="shared" si="2"/>
        <v>500</v>
      </c>
      <c r="J7" s="8"/>
      <c r="K7" s="7">
        <v>500</v>
      </c>
      <c r="L7" s="8"/>
      <c r="M7" s="9"/>
      <c r="N7" s="8"/>
      <c r="O7" s="9"/>
      <c r="P7" s="8"/>
      <c r="Q7" s="9"/>
      <c r="R7" s="8"/>
    </row>
    <row r="8" spans="1:20" x14ac:dyDescent="0.25">
      <c r="A8" s="15" t="s">
        <v>232</v>
      </c>
      <c r="B8" s="10">
        <v>5742269.7800000003</v>
      </c>
      <c r="D8">
        <f t="shared" si="0"/>
        <v>5742269.7800000003</v>
      </c>
      <c r="E8" s="31">
        <f t="shared" si="1"/>
        <v>0</v>
      </c>
      <c r="G8" s="5" t="s">
        <v>197</v>
      </c>
      <c r="H8" s="27" t="s">
        <v>238</v>
      </c>
      <c r="I8" s="7">
        <f t="shared" si="2"/>
        <v>100309</v>
      </c>
      <c r="J8" s="10">
        <v>100309</v>
      </c>
      <c r="K8" s="9"/>
      <c r="L8" s="8"/>
      <c r="M8" s="9"/>
      <c r="N8" s="8"/>
      <c r="O8" s="9"/>
      <c r="P8" s="8"/>
      <c r="Q8" s="9"/>
      <c r="R8" s="8"/>
    </row>
    <row r="9" spans="1:20" x14ac:dyDescent="0.25">
      <c r="A9" s="15" t="s">
        <v>233</v>
      </c>
      <c r="B9" s="10">
        <v>812230.48</v>
      </c>
      <c r="D9">
        <f t="shared" si="0"/>
        <v>812230.48</v>
      </c>
      <c r="E9" s="31">
        <f t="shared" si="1"/>
        <v>0</v>
      </c>
      <c r="G9" s="5" t="s">
        <v>242</v>
      </c>
      <c r="H9" s="27" t="s">
        <v>226</v>
      </c>
      <c r="I9" s="7">
        <f t="shared" si="2"/>
        <v>340</v>
      </c>
      <c r="J9" s="10">
        <v>340</v>
      </c>
      <c r="K9" s="9"/>
      <c r="L9" s="8"/>
      <c r="M9" s="9"/>
      <c r="N9" s="8"/>
      <c r="O9" s="9"/>
      <c r="P9" s="8"/>
      <c r="Q9" s="9"/>
      <c r="R9" s="8"/>
    </row>
    <row r="10" spans="1:20" x14ac:dyDescent="0.25">
      <c r="A10" s="15" t="s">
        <v>234</v>
      </c>
      <c r="B10" s="10">
        <v>1582237.2</v>
      </c>
      <c r="D10">
        <f t="shared" si="0"/>
        <v>1582237.2</v>
      </c>
      <c r="E10" s="31">
        <f t="shared" si="1"/>
        <v>0</v>
      </c>
      <c r="G10" s="5" t="s">
        <v>242</v>
      </c>
      <c r="H10" s="28" t="s">
        <v>228</v>
      </c>
      <c r="I10" s="7">
        <f t="shared" si="2"/>
        <v>700</v>
      </c>
      <c r="J10" s="8"/>
      <c r="K10" s="9"/>
      <c r="L10" s="8"/>
      <c r="M10" s="9"/>
      <c r="N10" s="8"/>
      <c r="O10" s="7">
        <v>700</v>
      </c>
      <c r="P10" s="8"/>
      <c r="Q10" s="9"/>
      <c r="R10" s="8"/>
    </row>
    <row r="11" spans="1:20" x14ac:dyDescent="0.25">
      <c r="A11" s="15" t="s">
        <v>235</v>
      </c>
      <c r="B11" s="10">
        <v>500</v>
      </c>
      <c r="D11">
        <f t="shared" si="0"/>
        <v>500</v>
      </c>
      <c r="E11" s="31">
        <f t="shared" si="1"/>
        <v>0</v>
      </c>
      <c r="G11" s="5" t="s">
        <v>242</v>
      </c>
      <c r="H11" s="28" t="s">
        <v>230</v>
      </c>
      <c r="I11" s="7">
        <f t="shared" si="2"/>
        <v>5200</v>
      </c>
      <c r="J11" s="8"/>
      <c r="K11" s="7">
        <v>5200</v>
      </c>
      <c r="L11" s="8"/>
      <c r="M11" s="9"/>
      <c r="N11" s="8"/>
      <c r="O11" s="9"/>
      <c r="P11" s="8"/>
      <c r="Q11" s="9"/>
      <c r="R11" s="8"/>
    </row>
    <row r="12" spans="1:20" x14ac:dyDescent="0.25">
      <c r="A12" s="15" t="s">
        <v>236</v>
      </c>
      <c r="B12" s="10">
        <v>417103</v>
      </c>
      <c r="D12">
        <f t="shared" si="0"/>
        <v>417103</v>
      </c>
      <c r="E12" s="31">
        <f t="shared" si="1"/>
        <v>0</v>
      </c>
      <c r="G12" s="5" t="s">
        <v>244</v>
      </c>
      <c r="H12" s="27" t="s">
        <v>229</v>
      </c>
      <c r="I12" s="7">
        <f t="shared" si="2"/>
        <v>60000</v>
      </c>
      <c r="J12" s="8"/>
      <c r="K12" s="7">
        <v>60000</v>
      </c>
      <c r="L12" s="8"/>
      <c r="M12" s="9"/>
      <c r="N12" s="8"/>
      <c r="O12" s="9"/>
      <c r="P12" s="8"/>
      <c r="Q12" s="9"/>
      <c r="R12" s="8"/>
    </row>
    <row r="13" spans="1:20" x14ac:dyDescent="0.25">
      <c r="A13" s="15" t="s">
        <v>237</v>
      </c>
      <c r="B13" s="10">
        <v>709.98</v>
      </c>
      <c r="D13">
        <f t="shared" si="0"/>
        <v>709.98</v>
      </c>
      <c r="E13" s="31">
        <f t="shared" si="1"/>
        <v>0</v>
      </c>
      <c r="G13" s="5" t="s">
        <v>244</v>
      </c>
      <c r="H13" s="28" t="s">
        <v>237</v>
      </c>
      <c r="I13" s="7">
        <f t="shared" si="2"/>
        <v>709.98</v>
      </c>
      <c r="J13" s="8"/>
      <c r="K13" s="9"/>
      <c r="L13" s="8"/>
      <c r="M13" s="9"/>
      <c r="N13" s="8"/>
      <c r="O13" s="7">
        <v>709.98</v>
      </c>
      <c r="P13" s="8"/>
      <c r="Q13" s="9"/>
      <c r="R13" s="8"/>
    </row>
    <row r="14" spans="1:20" x14ac:dyDescent="0.25">
      <c r="A14" s="15" t="s">
        <v>238</v>
      </c>
      <c r="B14" s="10">
        <v>100309</v>
      </c>
      <c r="D14">
        <f t="shared" si="0"/>
        <v>100309</v>
      </c>
      <c r="E14" s="31">
        <f t="shared" si="1"/>
        <v>0</v>
      </c>
      <c r="G14" s="5" t="s">
        <v>244</v>
      </c>
      <c r="H14" s="27" t="s">
        <v>239</v>
      </c>
      <c r="I14" s="7">
        <f t="shared" si="2"/>
        <v>24976.91</v>
      </c>
      <c r="J14" s="10">
        <v>24976.91</v>
      </c>
      <c r="K14" s="9"/>
      <c r="L14" s="8"/>
      <c r="M14" s="9"/>
      <c r="N14" s="8"/>
      <c r="O14" s="9"/>
      <c r="P14" s="8"/>
      <c r="Q14" s="9"/>
      <c r="R14" s="8"/>
    </row>
    <row r="15" spans="1:20" x14ac:dyDescent="0.25">
      <c r="A15" s="15" t="s">
        <v>239</v>
      </c>
      <c r="B15" s="10">
        <v>24976.91</v>
      </c>
      <c r="D15">
        <f t="shared" si="0"/>
        <v>24976.91</v>
      </c>
      <c r="E15" s="31">
        <f t="shared" si="1"/>
        <v>0</v>
      </c>
      <c r="G15" s="5" t="s">
        <v>245</v>
      </c>
      <c r="H15" s="28" t="s">
        <v>234</v>
      </c>
      <c r="I15" s="7">
        <f t="shared" si="2"/>
        <v>1582237.2</v>
      </c>
      <c r="J15" s="10">
        <v>1582237.2</v>
      </c>
      <c r="K15" s="9"/>
      <c r="L15" s="8"/>
      <c r="M15" s="9"/>
      <c r="N15" s="8"/>
      <c r="O15" s="9"/>
      <c r="P15" s="8"/>
      <c r="Q15" s="9"/>
      <c r="R15" s="8"/>
    </row>
    <row r="16" spans="1:20" x14ac:dyDescent="0.25">
      <c r="A16" s="19" t="s">
        <v>121</v>
      </c>
      <c r="B16" s="13">
        <f>SUM(B2:B15)</f>
        <v>14419338.5</v>
      </c>
      <c r="D16" s="13">
        <f t="shared" ref="D16:E16" si="3">SUM(D2:D15)</f>
        <v>14419338.5</v>
      </c>
      <c r="E16" s="13">
        <f t="shared" si="3"/>
        <v>0</v>
      </c>
      <c r="G16" s="12"/>
      <c r="H16" s="19" t="s">
        <v>121</v>
      </c>
      <c r="I16" s="13">
        <f>SUM(I2:I15)</f>
        <v>14419338.5</v>
      </c>
      <c r="J16" s="13">
        <f t="shared" ref="J16:R16" si="4">SUM(J2:J15)</f>
        <v>12684466.370000001</v>
      </c>
      <c r="K16" s="13">
        <f t="shared" si="4"/>
        <v>1367100</v>
      </c>
      <c r="L16" s="13">
        <f t="shared" si="4"/>
        <v>366362.15</v>
      </c>
      <c r="M16" s="13">
        <f t="shared" si="4"/>
        <v>0</v>
      </c>
      <c r="N16" s="13">
        <f t="shared" si="4"/>
        <v>0</v>
      </c>
      <c r="O16" s="13">
        <f t="shared" si="4"/>
        <v>1409.98</v>
      </c>
      <c r="P16" s="13">
        <f t="shared" si="4"/>
        <v>0</v>
      </c>
      <c r="Q16" s="13">
        <f t="shared" si="4"/>
        <v>0</v>
      </c>
      <c r="R16" s="13">
        <f t="shared" si="4"/>
        <v>0</v>
      </c>
      <c r="S16" s="16">
        <f>SUM(J16:R16)</f>
        <v>14419338.500000002</v>
      </c>
      <c r="T16" s="18">
        <f>+I16-S16</f>
        <v>0</v>
      </c>
    </row>
    <row r="17" spans="1:18" x14ac:dyDescent="0.25">
      <c r="B17" s="32">
        <v>13747380.9</v>
      </c>
      <c r="C17" s="33">
        <f>+B16-B17</f>
        <v>671957.59999999963</v>
      </c>
      <c r="D17" s="18">
        <f>+B16-D16</f>
        <v>0</v>
      </c>
    </row>
    <row r="19" spans="1:18" x14ac:dyDescent="0.25">
      <c r="A19" s="19" t="s">
        <v>246</v>
      </c>
      <c r="B19" s="2" t="s">
        <v>10</v>
      </c>
      <c r="G19" s="12" t="s">
        <v>122</v>
      </c>
      <c r="H19" s="19" t="s">
        <v>246</v>
      </c>
      <c r="I19" s="4" t="s">
        <v>0</v>
      </c>
      <c r="J19" s="4" t="s">
        <v>1</v>
      </c>
      <c r="K19" s="4" t="s">
        <v>2</v>
      </c>
      <c r="L19" s="4" t="s">
        <v>3</v>
      </c>
      <c r="M19" s="4" t="s">
        <v>4</v>
      </c>
      <c r="N19" s="4" t="s">
        <v>5</v>
      </c>
      <c r="O19" s="4" t="s">
        <v>6</v>
      </c>
      <c r="P19" s="4" t="s">
        <v>7</v>
      </c>
      <c r="Q19" s="4" t="s">
        <v>8</v>
      </c>
    </row>
    <row r="20" spans="1:18" x14ac:dyDescent="0.25">
      <c r="A20" s="15" t="s">
        <v>247</v>
      </c>
      <c r="B20" s="10">
        <v>72657.64</v>
      </c>
      <c r="D20">
        <f>VLOOKUP(A20,$H$20:$I$22,2,0)</f>
        <v>72657.64</v>
      </c>
      <c r="E20" s="31">
        <f>+B20-D20</f>
        <v>0</v>
      </c>
      <c r="G20" s="5" t="s">
        <v>242</v>
      </c>
      <c r="H20" s="27" t="s">
        <v>247</v>
      </c>
      <c r="I20" s="7">
        <f>SUM(J20:R20)</f>
        <v>72657.64</v>
      </c>
      <c r="J20" s="8"/>
      <c r="K20" s="9"/>
      <c r="L20" s="8"/>
      <c r="M20" s="9"/>
      <c r="N20" s="8"/>
      <c r="O20" s="9"/>
      <c r="P20" s="8"/>
      <c r="Q20" s="7">
        <v>72657.64</v>
      </c>
    </row>
    <row r="21" spans="1:18" x14ac:dyDescent="0.25">
      <c r="A21" s="15" t="s">
        <v>243</v>
      </c>
      <c r="B21" s="10">
        <v>725</v>
      </c>
      <c r="D21">
        <f>VLOOKUP(A21,$H$20:$I$22,2,0)</f>
        <v>725</v>
      </c>
      <c r="E21" s="31">
        <f t="shared" ref="E21:E22" si="5">+B21-D21</f>
        <v>0</v>
      </c>
      <c r="G21" s="5" t="s">
        <v>242</v>
      </c>
      <c r="H21" s="28" t="s">
        <v>243</v>
      </c>
      <c r="I21" s="7">
        <f t="shared" ref="I21:I22" si="6">SUM(J21:R21)</f>
        <v>725</v>
      </c>
      <c r="J21" s="8"/>
      <c r="K21" s="9"/>
      <c r="L21" s="8"/>
      <c r="M21" s="9"/>
      <c r="N21" s="8"/>
      <c r="O21" s="9"/>
      <c r="P21" s="10">
        <v>725</v>
      </c>
      <c r="Q21" s="9"/>
    </row>
    <row r="22" spans="1:18" x14ac:dyDescent="0.25">
      <c r="A22" s="15" t="s">
        <v>248</v>
      </c>
      <c r="B22" s="10">
        <v>198547.20000000001</v>
      </c>
      <c r="D22">
        <f>VLOOKUP(A22,$H$20:$I$22,2,0)</f>
        <v>198547.20000000001</v>
      </c>
      <c r="E22" s="31">
        <f t="shared" si="5"/>
        <v>0</v>
      </c>
      <c r="G22" s="5" t="s">
        <v>244</v>
      </c>
      <c r="H22" s="27" t="s">
        <v>248</v>
      </c>
      <c r="I22" s="7">
        <f t="shared" si="6"/>
        <v>198547.20000000001</v>
      </c>
      <c r="J22" s="8"/>
      <c r="K22" s="9"/>
      <c r="L22" s="8"/>
      <c r="M22" s="9"/>
      <c r="N22" s="8"/>
      <c r="O22" s="9"/>
      <c r="P22" s="10">
        <v>198547.20000000001</v>
      </c>
      <c r="Q22" s="9"/>
    </row>
    <row r="23" spans="1:18" x14ac:dyDescent="0.25">
      <c r="A23" s="19" t="s">
        <v>121</v>
      </c>
      <c r="B23" s="13">
        <f>SUM(B20:B22)</f>
        <v>271929.84000000003</v>
      </c>
      <c r="D23" s="13">
        <f>SUM(D20:D22)</f>
        <v>271929.84000000003</v>
      </c>
      <c r="E23" s="13">
        <f>SUM(E20:E22)</f>
        <v>0</v>
      </c>
      <c r="G23" s="12"/>
      <c r="H23" s="19" t="s">
        <v>121</v>
      </c>
      <c r="I23" s="13">
        <f>SUM(I20:I22)</f>
        <v>271929.84000000003</v>
      </c>
      <c r="J23" s="13">
        <f t="shared" ref="J23:R23" si="7">SUM(J20:J22)</f>
        <v>0</v>
      </c>
      <c r="K23" s="13">
        <f t="shared" si="7"/>
        <v>0</v>
      </c>
      <c r="L23" s="13">
        <f t="shared" si="7"/>
        <v>0</v>
      </c>
      <c r="M23" s="13">
        <f t="shared" si="7"/>
        <v>0</v>
      </c>
      <c r="N23" s="13">
        <f t="shared" si="7"/>
        <v>0</v>
      </c>
      <c r="O23" s="13">
        <f t="shared" si="7"/>
        <v>0</v>
      </c>
      <c r="P23" s="13">
        <f t="shared" si="7"/>
        <v>199272.2</v>
      </c>
      <c r="Q23" s="13">
        <f t="shared" si="7"/>
        <v>72657.64</v>
      </c>
      <c r="R23" s="13">
        <f t="shared" si="7"/>
        <v>0</v>
      </c>
    </row>
  </sheetData>
  <conditionalFormatting sqref="A2:A15 H2:H15">
    <cfRule type="duplicateValues" dxfId="401" priority="31"/>
  </conditionalFormatting>
  <conditionalFormatting sqref="A20:A22 H20:H22">
    <cfRule type="duplicateValues" dxfId="400" priority="3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topLeftCell="C34" workbookViewId="0">
      <selection activeCell="I45" sqref="I45"/>
    </sheetView>
  </sheetViews>
  <sheetFormatPr defaultRowHeight="15" x14ac:dyDescent="0.25"/>
  <cols>
    <col min="1" max="1" width="39" bestFit="1" customWidth="1"/>
    <col min="2" max="2" width="11.42578125" bestFit="1" customWidth="1"/>
    <col min="4" max="4" width="11.140625" customWidth="1"/>
    <col min="5" max="5" width="4.5703125" bestFit="1" customWidth="1"/>
    <col min="7" max="7" width="15.85546875" bestFit="1" customWidth="1"/>
    <col min="8" max="8" width="39.28515625" bestFit="1" customWidth="1"/>
    <col min="9" max="9" width="11.42578125" bestFit="1" customWidth="1"/>
    <col min="10" max="10" width="11" bestFit="1" customWidth="1"/>
    <col min="11" max="14" width="11.7109375" bestFit="1" customWidth="1"/>
    <col min="15" max="15" width="12.7109375" bestFit="1" customWidth="1"/>
    <col min="16" max="17" width="13.85546875" bestFit="1" customWidth="1"/>
    <col min="18" max="18" width="11.28515625" bestFit="1" customWidth="1"/>
    <col min="19" max="19" width="11.5703125" bestFit="1" customWidth="1"/>
  </cols>
  <sheetData>
    <row r="1" spans="1:18" x14ac:dyDescent="0.25">
      <c r="A1" s="4" t="s">
        <v>249</v>
      </c>
      <c r="B1" s="2" t="s">
        <v>10</v>
      </c>
      <c r="G1" s="12" t="s">
        <v>122</v>
      </c>
      <c r="H1" s="3" t="s">
        <v>249</v>
      </c>
      <c r="I1" s="4" t="s">
        <v>0</v>
      </c>
      <c r="J1" s="4" t="s">
        <v>1</v>
      </c>
      <c r="K1" s="4" t="s">
        <v>2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</row>
    <row r="2" spans="1:18" x14ac:dyDescent="0.25">
      <c r="A2" s="15" t="s">
        <v>250</v>
      </c>
      <c r="B2" s="10">
        <v>299887.15000000002</v>
      </c>
      <c r="D2">
        <f>VLOOKUP(A2,$H$2:$I$43,2,0)</f>
        <v>299887.15000000002</v>
      </c>
      <c r="E2" s="31">
        <f>B2-D2</f>
        <v>0</v>
      </c>
      <c r="G2" s="5" t="s">
        <v>241</v>
      </c>
      <c r="H2" s="11" t="s">
        <v>257</v>
      </c>
      <c r="I2" s="7">
        <f>SUM(J2:R2)</f>
        <v>319.64999999999998</v>
      </c>
      <c r="J2" s="10">
        <v>319.64999999999998</v>
      </c>
      <c r="K2" s="9"/>
      <c r="L2" s="8"/>
      <c r="M2" s="9"/>
      <c r="N2" s="8"/>
      <c r="O2" s="9"/>
      <c r="P2" s="8"/>
      <c r="Q2" s="9"/>
      <c r="R2" s="8"/>
    </row>
    <row r="3" spans="1:18" x14ac:dyDescent="0.25">
      <c r="A3" s="15" t="s">
        <v>251</v>
      </c>
      <c r="B3" s="10">
        <v>82308.509999999995</v>
      </c>
      <c r="D3">
        <f t="shared" ref="D3:D43" si="0">VLOOKUP(A3,$H$2:$I$43,2,0)</f>
        <v>82308.509999999995</v>
      </c>
      <c r="E3" s="31">
        <f t="shared" ref="E3:E43" si="1">B3-D3</f>
        <v>0</v>
      </c>
      <c r="G3" s="5" t="s">
        <v>241</v>
      </c>
      <c r="H3" s="11" t="s">
        <v>236</v>
      </c>
      <c r="I3" s="7">
        <f t="shared" ref="I3:I43" si="2">SUM(J3:R3)</f>
        <v>496246.81</v>
      </c>
      <c r="J3" s="10">
        <v>496246.81</v>
      </c>
      <c r="K3" s="9"/>
      <c r="L3" s="8"/>
      <c r="M3" s="9"/>
      <c r="N3" s="8"/>
      <c r="O3" s="9"/>
      <c r="P3" s="8"/>
      <c r="Q3" s="9"/>
      <c r="R3" s="8"/>
    </row>
    <row r="4" spans="1:18" x14ac:dyDescent="0.25">
      <c r="A4" s="15" t="s">
        <v>252</v>
      </c>
      <c r="B4" s="10">
        <v>2991683</v>
      </c>
      <c r="D4">
        <f t="shared" si="0"/>
        <v>2991683</v>
      </c>
      <c r="E4" s="31">
        <f t="shared" si="1"/>
        <v>0</v>
      </c>
      <c r="G4" s="5" t="s">
        <v>41</v>
      </c>
      <c r="H4" s="11" t="s">
        <v>253</v>
      </c>
      <c r="I4" s="7">
        <f t="shared" si="2"/>
        <v>170371</v>
      </c>
      <c r="J4" s="8"/>
      <c r="K4" s="9"/>
      <c r="L4" s="8"/>
      <c r="M4" s="9"/>
      <c r="N4" s="8"/>
      <c r="O4" s="9"/>
      <c r="P4" s="8"/>
      <c r="Q4" s="9"/>
      <c r="R4" s="10">
        <v>170371</v>
      </c>
    </row>
    <row r="5" spans="1:18" x14ac:dyDescent="0.25">
      <c r="A5" s="15" t="s">
        <v>253</v>
      </c>
      <c r="B5" s="10">
        <v>170371</v>
      </c>
      <c r="D5">
        <f t="shared" si="0"/>
        <v>170371</v>
      </c>
      <c r="E5" s="31">
        <f t="shared" si="1"/>
        <v>0</v>
      </c>
      <c r="G5" s="5" t="s">
        <v>41</v>
      </c>
      <c r="H5" s="11" t="s">
        <v>254</v>
      </c>
      <c r="I5" s="7">
        <f t="shared" si="2"/>
        <v>149739</v>
      </c>
      <c r="J5" s="8"/>
      <c r="K5" s="9"/>
      <c r="L5" s="8"/>
      <c r="M5" s="9"/>
      <c r="N5" s="8"/>
      <c r="O5" s="9"/>
      <c r="P5" s="8"/>
      <c r="Q5" s="9"/>
      <c r="R5" s="10">
        <v>149739</v>
      </c>
    </row>
    <row r="6" spans="1:18" x14ac:dyDescent="0.25">
      <c r="A6" s="15" t="s">
        <v>254</v>
      </c>
      <c r="B6" s="10">
        <v>149739</v>
      </c>
      <c r="D6">
        <f t="shared" si="0"/>
        <v>149739</v>
      </c>
      <c r="E6" s="31">
        <f t="shared" si="1"/>
        <v>0</v>
      </c>
      <c r="G6" s="5" t="s">
        <v>41</v>
      </c>
      <c r="H6" s="11" t="s">
        <v>255</v>
      </c>
      <c r="I6" s="7">
        <f t="shared" si="2"/>
        <v>305642.81</v>
      </c>
      <c r="J6" s="8"/>
      <c r="K6" s="9"/>
      <c r="L6" s="8"/>
      <c r="M6" s="9"/>
      <c r="N6" s="8"/>
      <c r="O6" s="9"/>
      <c r="P6" s="8"/>
      <c r="Q6" s="9"/>
      <c r="R6" s="10">
        <v>305642.81</v>
      </c>
    </row>
    <row r="7" spans="1:18" x14ac:dyDescent="0.25">
      <c r="A7" s="15" t="s">
        <v>255</v>
      </c>
      <c r="B7" s="10">
        <v>305642.81</v>
      </c>
      <c r="D7">
        <f t="shared" si="0"/>
        <v>305642.81</v>
      </c>
      <c r="E7" s="31">
        <f t="shared" si="1"/>
        <v>0</v>
      </c>
      <c r="G7" s="5" t="s">
        <v>41</v>
      </c>
      <c r="H7" s="11" t="s">
        <v>258</v>
      </c>
      <c r="I7" s="7">
        <f t="shared" si="2"/>
        <v>261320</v>
      </c>
      <c r="J7" s="8"/>
      <c r="K7" s="9"/>
      <c r="L7" s="8"/>
      <c r="M7" s="9"/>
      <c r="N7" s="8"/>
      <c r="O7" s="9"/>
      <c r="P7" s="8"/>
      <c r="Q7" s="9"/>
      <c r="R7" s="10">
        <v>261320</v>
      </c>
    </row>
    <row r="8" spans="1:18" x14ac:dyDescent="0.25">
      <c r="A8" s="15" t="s">
        <v>256</v>
      </c>
      <c r="B8" s="10">
        <v>347424.28</v>
      </c>
      <c r="D8">
        <f t="shared" si="0"/>
        <v>347424.28</v>
      </c>
      <c r="E8" s="31">
        <f t="shared" si="1"/>
        <v>0</v>
      </c>
      <c r="G8" s="5" t="s">
        <v>41</v>
      </c>
      <c r="H8" s="11" t="s">
        <v>261</v>
      </c>
      <c r="I8" s="7">
        <f t="shared" si="2"/>
        <v>117261</v>
      </c>
      <c r="J8" s="8"/>
      <c r="K8" s="9"/>
      <c r="L8" s="8"/>
      <c r="M8" s="9"/>
      <c r="N8" s="8"/>
      <c r="O8" s="9"/>
      <c r="P8" s="8"/>
      <c r="Q8" s="9"/>
      <c r="R8" s="10">
        <v>117261</v>
      </c>
    </row>
    <row r="9" spans="1:18" x14ac:dyDescent="0.25">
      <c r="A9" s="15" t="s">
        <v>257</v>
      </c>
      <c r="B9" s="10">
        <v>319.64999999999998</v>
      </c>
      <c r="D9">
        <f t="shared" si="0"/>
        <v>319.64999999999998</v>
      </c>
      <c r="E9" s="31">
        <f t="shared" si="1"/>
        <v>0</v>
      </c>
      <c r="G9" s="5" t="s">
        <v>41</v>
      </c>
      <c r="H9" s="11" t="s">
        <v>263</v>
      </c>
      <c r="I9" s="7">
        <f t="shared" si="2"/>
        <v>40369</v>
      </c>
      <c r="J9" s="8"/>
      <c r="K9" s="9"/>
      <c r="L9" s="8"/>
      <c r="M9" s="9"/>
      <c r="N9" s="8"/>
      <c r="O9" s="9"/>
      <c r="P9" s="8"/>
      <c r="Q9" s="9"/>
      <c r="R9" s="10">
        <v>40369</v>
      </c>
    </row>
    <row r="10" spans="1:18" x14ac:dyDescent="0.25">
      <c r="A10" s="15" t="s">
        <v>258</v>
      </c>
      <c r="B10" s="10">
        <v>261320</v>
      </c>
      <c r="D10">
        <f t="shared" si="0"/>
        <v>261320</v>
      </c>
      <c r="E10" s="31">
        <f t="shared" si="1"/>
        <v>0</v>
      </c>
      <c r="G10" s="5" t="s">
        <v>41</v>
      </c>
      <c r="H10" s="11" t="s">
        <v>277</v>
      </c>
      <c r="I10" s="7">
        <f t="shared" si="2"/>
        <v>106034.36</v>
      </c>
      <c r="J10" s="8"/>
      <c r="K10" s="9"/>
      <c r="L10" s="8"/>
      <c r="M10" s="9"/>
      <c r="N10" s="8"/>
      <c r="O10" s="9"/>
      <c r="P10" s="8"/>
      <c r="Q10" s="9"/>
      <c r="R10" s="10">
        <v>106034.36</v>
      </c>
    </row>
    <row r="11" spans="1:18" x14ac:dyDescent="0.25">
      <c r="A11" s="15" t="s">
        <v>259</v>
      </c>
      <c r="B11" s="10">
        <v>877923</v>
      </c>
      <c r="D11">
        <f t="shared" si="0"/>
        <v>877923</v>
      </c>
      <c r="E11" s="31">
        <f t="shared" si="1"/>
        <v>0</v>
      </c>
      <c r="G11" s="5" t="s">
        <v>197</v>
      </c>
      <c r="H11" s="11" t="s">
        <v>281</v>
      </c>
      <c r="I11" s="7">
        <f t="shared" si="2"/>
        <v>10000</v>
      </c>
      <c r="J11" s="10">
        <v>10000</v>
      </c>
      <c r="K11" s="9"/>
      <c r="L11" s="8"/>
      <c r="M11" s="9"/>
      <c r="N11" s="8"/>
      <c r="O11" s="9"/>
      <c r="P11" s="8"/>
      <c r="Q11" s="9"/>
      <c r="R11" s="8"/>
    </row>
    <row r="12" spans="1:18" x14ac:dyDescent="0.25">
      <c r="A12" s="15" t="s">
        <v>260</v>
      </c>
      <c r="B12" s="10">
        <v>157024.79</v>
      </c>
      <c r="D12">
        <f t="shared" si="0"/>
        <v>157024.79</v>
      </c>
      <c r="E12" s="31">
        <f t="shared" si="1"/>
        <v>0</v>
      </c>
      <c r="G12" s="5" t="s">
        <v>197</v>
      </c>
      <c r="H12" s="11" t="s">
        <v>285</v>
      </c>
      <c r="I12" s="7">
        <f t="shared" si="2"/>
        <v>15925</v>
      </c>
      <c r="J12" s="8"/>
      <c r="K12" s="7">
        <v>15925</v>
      </c>
      <c r="L12" s="8"/>
      <c r="M12" s="9"/>
      <c r="N12" s="8"/>
      <c r="O12" s="9"/>
      <c r="P12" s="8"/>
      <c r="Q12" s="9"/>
      <c r="R12" s="8"/>
    </row>
    <row r="13" spans="1:18" x14ac:dyDescent="0.25">
      <c r="A13" s="15" t="s">
        <v>261</v>
      </c>
      <c r="B13" s="10">
        <v>117261</v>
      </c>
      <c r="D13">
        <f t="shared" si="0"/>
        <v>117261</v>
      </c>
      <c r="E13" s="31">
        <f t="shared" si="1"/>
        <v>0</v>
      </c>
      <c r="G13" s="5" t="s">
        <v>290</v>
      </c>
      <c r="H13" s="11" t="s">
        <v>251</v>
      </c>
      <c r="I13" s="7">
        <f t="shared" si="2"/>
        <v>82308.509999999995</v>
      </c>
      <c r="J13" s="8"/>
      <c r="K13" s="9"/>
      <c r="L13" s="8"/>
      <c r="M13" s="9"/>
      <c r="N13" s="8"/>
      <c r="O13" s="9"/>
      <c r="P13" s="8"/>
      <c r="Q13" s="7">
        <v>82308.509999999995</v>
      </c>
      <c r="R13" s="8"/>
    </row>
    <row r="14" spans="1:18" x14ac:dyDescent="0.25">
      <c r="A14" s="15" t="s">
        <v>262</v>
      </c>
      <c r="B14" s="10">
        <v>202127</v>
      </c>
      <c r="D14">
        <f t="shared" si="0"/>
        <v>202127</v>
      </c>
      <c r="E14" s="31">
        <f t="shared" si="1"/>
        <v>0</v>
      </c>
      <c r="G14" s="5" t="s">
        <v>290</v>
      </c>
      <c r="H14" s="11" t="s">
        <v>256</v>
      </c>
      <c r="I14" s="7">
        <f t="shared" si="2"/>
        <v>347424.28</v>
      </c>
      <c r="J14" s="8"/>
      <c r="K14" s="9"/>
      <c r="L14" s="8"/>
      <c r="M14" s="9"/>
      <c r="N14" s="8"/>
      <c r="O14" s="9"/>
      <c r="P14" s="8"/>
      <c r="Q14" s="9"/>
      <c r="R14" s="10">
        <v>347424.28</v>
      </c>
    </row>
    <row r="15" spans="1:18" x14ac:dyDescent="0.25">
      <c r="A15" s="15" t="s">
        <v>263</v>
      </c>
      <c r="B15" s="10">
        <v>40369</v>
      </c>
      <c r="D15">
        <f t="shared" si="0"/>
        <v>40369</v>
      </c>
      <c r="E15" s="31">
        <f t="shared" si="1"/>
        <v>0</v>
      </c>
      <c r="G15" s="5" t="s">
        <v>290</v>
      </c>
      <c r="H15" s="11" t="s">
        <v>262</v>
      </c>
      <c r="I15" s="7">
        <f t="shared" si="2"/>
        <v>202127</v>
      </c>
      <c r="J15" s="8"/>
      <c r="K15" s="9"/>
      <c r="L15" s="8"/>
      <c r="M15" s="9"/>
      <c r="N15" s="8"/>
      <c r="O15" s="9"/>
      <c r="P15" s="8"/>
      <c r="Q15" s="9"/>
      <c r="R15" s="10">
        <v>202127</v>
      </c>
    </row>
    <row r="16" spans="1:18" x14ac:dyDescent="0.25">
      <c r="A16" s="15" t="s">
        <v>264</v>
      </c>
      <c r="B16" s="10">
        <v>35337.160000000003</v>
      </c>
      <c r="D16">
        <f t="shared" si="0"/>
        <v>35337.160000000003</v>
      </c>
      <c r="E16" s="31">
        <f t="shared" si="1"/>
        <v>0</v>
      </c>
      <c r="G16" s="5" t="s">
        <v>290</v>
      </c>
      <c r="H16" s="11" t="s">
        <v>264</v>
      </c>
      <c r="I16" s="7">
        <f t="shared" si="2"/>
        <v>35337.160000000003</v>
      </c>
      <c r="J16" s="10">
        <v>35337.160000000003</v>
      </c>
      <c r="K16" s="9"/>
      <c r="L16" s="8"/>
      <c r="M16" s="9"/>
      <c r="N16" s="8"/>
      <c r="O16" s="9"/>
      <c r="P16" s="8"/>
      <c r="Q16" s="9"/>
      <c r="R16" s="8"/>
    </row>
    <row r="17" spans="1:18" x14ac:dyDescent="0.25">
      <c r="A17" s="15" t="s">
        <v>265</v>
      </c>
      <c r="B17" s="10">
        <v>1277286.74</v>
      </c>
      <c r="D17">
        <f t="shared" si="0"/>
        <v>1277286.74</v>
      </c>
      <c r="E17" s="31">
        <f t="shared" si="1"/>
        <v>0</v>
      </c>
      <c r="G17" s="5" t="s">
        <v>290</v>
      </c>
      <c r="H17" s="11" t="s">
        <v>265</v>
      </c>
      <c r="I17" s="7">
        <f t="shared" si="2"/>
        <v>1277286.74</v>
      </c>
      <c r="J17" s="10">
        <v>863277.11</v>
      </c>
      <c r="K17" s="9"/>
      <c r="L17" s="8"/>
      <c r="M17" s="9"/>
      <c r="N17" s="10">
        <v>363087.7</v>
      </c>
      <c r="O17" s="9"/>
      <c r="P17" s="10">
        <v>50921.93</v>
      </c>
      <c r="Q17" s="9"/>
      <c r="R17" s="8"/>
    </row>
    <row r="18" spans="1:18" x14ac:dyDescent="0.25">
      <c r="A18" s="15" t="s">
        <v>266</v>
      </c>
      <c r="B18" s="10">
        <v>775240.52</v>
      </c>
      <c r="D18">
        <f t="shared" si="0"/>
        <v>775240.52</v>
      </c>
      <c r="E18" s="31">
        <f t="shared" si="1"/>
        <v>0</v>
      </c>
      <c r="G18" s="5" t="s">
        <v>290</v>
      </c>
      <c r="H18" s="11" t="s">
        <v>266</v>
      </c>
      <c r="I18" s="7">
        <f t="shared" si="2"/>
        <v>775240.52</v>
      </c>
      <c r="J18" s="8"/>
      <c r="K18" s="7">
        <v>775240.52</v>
      </c>
      <c r="L18" s="8"/>
      <c r="M18" s="9"/>
      <c r="N18" s="8"/>
      <c r="O18" s="9"/>
      <c r="P18" s="8"/>
      <c r="Q18" s="9"/>
      <c r="R18" s="8"/>
    </row>
    <row r="19" spans="1:18" x14ac:dyDescent="0.25">
      <c r="A19" s="15" t="s">
        <v>267</v>
      </c>
      <c r="B19" s="10">
        <v>480720.83</v>
      </c>
      <c r="D19">
        <f t="shared" si="0"/>
        <v>480720.83</v>
      </c>
      <c r="E19" s="31">
        <f t="shared" si="1"/>
        <v>0</v>
      </c>
      <c r="G19" s="5" t="s">
        <v>290</v>
      </c>
      <c r="H19" s="11" t="s">
        <v>267</v>
      </c>
      <c r="I19" s="7">
        <f t="shared" si="2"/>
        <v>480720.83</v>
      </c>
      <c r="J19" s="8"/>
      <c r="K19" s="9"/>
      <c r="L19" s="10">
        <v>480720.83</v>
      </c>
      <c r="M19" s="9"/>
      <c r="N19" s="8"/>
      <c r="O19" s="9"/>
      <c r="P19" s="8"/>
      <c r="Q19" s="9"/>
      <c r="R19" s="8"/>
    </row>
    <row r="20" spans="1:18" x14ac:dyDescent="0.25">
      <c r="A20" s="15" t="s">
        <v>268</v>
      </c>
      <c r="B20" s="10">
        <v>234437</v>
      </c>
      <c r="D20">
        <f t="shared" si="0"/>
        <v>234437</v>
      </c>
      <c r="E20" s="31">
        <f t="shared" si="1"/>
        <v>0</v>
      </c>
      <c r="G20" s="5" t="s">
        <v>290</v>
      </c>
      <c r="H20" s="11" t="s">
        <v>270</v>
      </c>
      <c r="I20" s="7">
        <f t="shared" si="2"/>
        <v>613527.79</v>
      </c>
      <c r="J20" s="8"/>
      <c r="K20" s="9"/>
      <c r="L20" s="8"/>
      <c r="M20" s="7">
        <v>155541.9</v>
      </c>
      <c r="N20" s="8"/>
      <c r="O20" s="7">
        <v>457985.89</v>
      </c>
      <c r="P20" s="8"/>
      <c r="Q20" s="9"/>
      <c r="R20" s="8"/>
    </row>
    <row r="21" spans="1:18" x14ac:dyDescent="0.25">
      <c r="A21" s="15" t="s">
        <v>269</v>
      </c>
      <c r="B21" s="10">
        <v>891238.03</v>
      </c>
      <c r="D21">
        <f t="shared" si="0"/>
        <v>891238.03</v>
      </c>
      <c r="E21" s="31">
        <f t="shared" si="1"/>
        <v>0</v>
      </c>
      <c r="G21" s="5" t="s">
        <v>290</v>
      </c>
      <c r="H21" s="11" t="s">
        <v>271</v>
      </c>
      <c r="I21" s="7">
        <f t="shared" si="2"/>
        <v>343860</v>
      </c>
      <c r="J21" s="8"/>
      <c r="K21" s="9"/>
      <c r="L21" s="8"/>
      <c r="M21" s="9"/>
      <c r="N21" s="8"/>
      <c r="O21" s="9"/>
      <c r="P21" s="8"/>
      <c r="Q21" s="9"/>
      <c r="R21" s="10">
        <v>343860</v>
      </c>
    </row>
    <row r="22" spans="1:18" x14ac:dyDescent="0.25">
      <c r="A22" s="15" t="s">
        <v>270</v>
      </c>
      <c r="B22" s="10">
        <v>613527.79</v>
      </c>
      <c r="D22">
        <f t="shared" si="0"/>
        <v>613527.79</v>
      </c>
      <c r="E22" s="31">
        <f t="shared" si="1"/>
        <v>0</v>
      </c>
      <c r="G22" s="5" t="s">
        <v>290</v>
      </c>
      <c r="H22" s="11" t="s">
        <v>273</v>
      </c>
      <c r="I22" s="7">
        <f t="shared" si="2"/>
        <v>5845.23</v>
      </c>
      <c r="J22" s="8"/>
      <c r="K22" s="9"/>
      <c r="L22" s="8"/>
      <c r="M22" s="9"/>
      <c r="N22" s="8"/>
      <c r="O22" s="9"/>
      <c r="P22" s="8"/>
      <c r="Q22" s="7">
        <v>5845.23</v>
      </c>
      <c r="R22" s="8"/>
    </row>
    <row r="23" spans="1:18" x14ac:dyDescent="0.25">
      <c r="A23" s="15" t="s">
        <v>271</v>
      </c>
      <c r="B23" s="10">
        <v>343860</v>
      </c>
      <c r="D23">
        <f t="shared" si="0"/>
        <v>343860</v>
      </c>
      <c r="E23" s="31">
        <f t="shared" si="1"/>
        <v>0</v>
      </c>
      <c r="G23" s="5" t="s">
        <v>290</v>
      </c>
      <c r="H23" s="11" t="s">
        <v>274</v>
      </c>
      <c r="I23" s="7">
        <f t="shared" si="2"/>
        <v>650299</v>
      </c>
      <c r="J23" s="8"/>
      <c r="K23" s="9"/>
      <c r="L23" s="8"/>
      <c r="M23" s="9"/>
      <c r="N23" s="8"/>
      <c r="O23" s="9"/>
      <c r="P23" s="8"/>
      <c r="Q23" s="9"/>
      <c r="R23" s="10">
        <v>650299</v>
      </c>
    </row>
    <row r="24" spans="1:18" x14ac:dyDescent="0.25">
      <c r="A24" s="15" t="s">
        <v>272</v>
      </c>
      <c r="B24" s="10">
        <v>1881315</v>
      </c>
      <c r="D24">
        <f t="shared" si="0"/>
        <v>1881315</v>
      </c>
      <c r="E24" s="31">
        <f t="shared" si="1"/>
        <v>0</v>
      </c>
      <c r="G24" s="5" t="s">
        <v>290</v>
      </c>
      <c r="H24" s="11" t="s">
        <v>276</v>
      </c>
      <c r="I24" s="7">
        <f t="shared" si="2"/>
        <v>199836</v>
      </c>
      <c r="J24" s="8"/>
      <c r="K24" s="9"/>
      <c r="L24" s="8"/>
      <c r="M24" s="9"/>
      <c r="N24" s="8"/>
      <c r="O24" s="9"/>
      <c r="P24" s="8"/>
      <c r="Q24" s="9"/>
      <c r="R24" s="10">
        <v>199836</v>
      </c>
    </row>
    <row r="25" spans="1:18" x14ac:dyDescent="0.25">
      <c r="A25" s="15" t="s">
        <v>273</v>
      </c>
      <c r="B25" s="10">
        <v>5845.23</v>
      </c>
      <c r="D25">
        <f t="shared" si="0"/>
        <v>5845.23</v>
      </c>
      <c r="E25" s="31">
        <f t="shared" si="1"/>
        <v>0</v>
      </c>
      <c r="G25" s="5" t="s">
        <v>290</v>
      </c>
      <c r="H25" s="11" t="s">
        <v>278</v>
      </c>
      <c r="I25" s="7">
        <f t="shared" si="2"/>
        <v>820928.73</v>
      </c>
      <c r="J25" s="10">
        <v>544839.36</v>
      </c>
      <c r="K25" s="9"/>
      <c r="L25" s="10">
        <v>276089.37</v>
      </c>
      <c r="M25" s="9"/>
      <c r="N25" s="8"/>
      <c r="O25" s="9"/>
      <c r="P25" s="8"/>
      <c r="Q25" s="9"/>
      <c r="R25" s="8"/>
    </row>
    <row r="26" spans="1:18" x14ac:dyDescent="0.25">
      <c r="A26" s="15" t="s">
        <v>274</v>
      </c>
      <c r="B26" s="10">
        <v>650299</v>
      </c>
      <c r="D26">
        <f t="shared" si="0"/>
        <v>650299</v>
      </c>
      <c r="E26" s="31">
        <f t="shared" si="1"/>
        <v>0</v>
      </c>
      <c r="G26" s="5" t="s">
        <v>290</v>
      </c>
      <c r="H26" s="11" t="s">
        <v>279</v>
      </c>
      <c r="I26" s="7">
        <f t="shared" si="2"/>
        <v>21945.42</v>
      </c>
      <c r="J26" s="8"/>
      <c r="K26" s="9"/>
      <c r="L26" s="8"/>
      <c r="M26" s="9"/>
      <c r="N26" s="8"/>
      <c r="O26" s="9"/>
      <c r="P26" s="10">
        <v>21945.42</v>
      </c>
      <c r="Q26" s="9"/>
      <c r="R26" s="8"/>
    </row>
    <row r="27" spans="1:18" x14ac:dyDescent="0.25">
      <c r="A27" s="15" t="s">
        <v>275</v>
      </c>
      <c r="B27" s="10">
        <v>1842785</v>
      </c>
      <c r="D27">
        <f t="shared" si="0"/>
        <v>1842785</v>
      </c>
      <c r="E27" s="31">
        <f t="shared" si="1"/>
        <v>0</v>
      </c>
      <c r="G27" s="5" t="s">
        <v>290</v>
      </c>
      <c r="H27" s="11" t="s">
        <v>283</v>
      </c>
      <c r="I27" s="7">
        <f t="shared" si="2"/>
        <v>313324.14</v>
      </c>
      <c r="J27" s="8"/>
      <c r="K27" s="9"/>
      <c r="L27" s="8"/>
      <c r="M27" s="9"/>
      <c r="N27" s="8"/>
      <c r="O27" s="9"/>
      <c r="P27" s="8"/>
      <c r="Q27" s="7">
        <v>313324.14</v>
      </c>
      <c r="R27" s="8"/>
    </row>
    <row r="28" spans="1:18" x14ac:dyDescent="0.25">
      <c r="A28" s="15" t="s">
        <v>276</v>
      </c>
      <c r="B28" s="10">
        <v>199836</v>
      </c>
      <c r="D28">
        <f t="shared" si="0"/>
        <v>199836</v>
      </c>
      <c r="E28" s="31">
        <f t="shared" si="1"/>
        <v>0</v>
      </c>
      <c r="G28" s="5" t="s">
        <v>290</v>
      </c>
      <c r="H28" s="11" t="s">
        <v>287</v>
      </c>
      <c r="I28" s="7">
        <f t="shared" si="2"/>
        <v>211742.63</v>
      </c>
      <c r="J28" s="8"/>
      <c r="K28" s="9"/>
      <c r="L28" s="10">
        <v>182479.2</v>
      </c>
      <c r="M28" s="9"/>
      <c r="N28" s="8"/>
      <c r="O28" s="9"/>
      <c r="P28" s="10">
        <v>29263.43</v>
      </c>
      <c r="Q28" s="9"/>
      <c r="R28" s="8"/>
    </row>
    <row r="29" spans="1:18" x14ac:dyDescent="0.25">
      <c r="A29" s="15" t="s">
        <v>277</v>
      </c>
      <c r="B29" s="10">
        <v>106034.36</v>
      </c>
      <c r="D29">
        <f t="shared" si="0"/>
        <v>106034.36</v>
      </c>
      <c r="E29" s="31">
        <f t="shared" si="1"/>
        <v>0</v>
      </c>
      <c r="G29" s="5" t="s">
        <v>290</v>
      </c>
      <c r="H29" s="11" t="s">
        <v>288</v>
      </c>
      <c r="I29" s="7">
        <f t="shared" si="2"/>
        <v>25048</v>
      </c>
      <c r="J29" s="8"/>
      <c r="K29" s="9"/>
      <c r="L29" s="8"/>
      <c r="M29" s="9"/>
      <c r="N29" s="8"/>
      <c r="O29" s="9"/>
      <c r="P29" s="8"/>
      <c r="Q29" s="9"/>
      <c r="R29" s="10">
        <v>25048</v>
      </c>
    </row>
    <row r="30" spans="1:18" x14ac:dyDescent="0.25">
      <c r="A30" s="15" t="s">
        <v>234</v>
      </c>
      <c r="B30" s="10">
        <v>1403517.55</v>
      </c>
      <c r="D30">
        <f t="shared" si="0"/>
        <v>1403517.55</v>
      </c>
      <c r="E30" s="31">
        <f t="shared" si="1"/>
        <v>0</v>
      </c>
      <c r="G30" s="5" t="s">
        <v>291</v>
      </c>
      <c r="H30" s="11" t="s">
        <v>250</v>
      </c>
      <c r="I30" s="7">
        <f t="shared" si="2"/>
        <v>299887.15000000002</v>
      </c>
      <c r="J30" s="8"/>
      <c r="K30" s="9"/>
      <c r="L30" s="8"/>
      <c r="M30" s="9"/>
      <c r="N30" s="8"/>
      <c r="O30" s="9"/>
      <c r="P30" s="8"/>
      <c r="Q30" s="9"/>
      <c r="R30" s="10">
        <v>299887.15000000002</v>
      </c>
    </row>
    <row r="31" spans="1:18" x14ac:dyDescent="0.25">
      <c r="A31" s="15" t="s">
        <v>278</v>
      </c>
      <c r="B31" s="10">
        <v>820928.73</v>
      </c>
      <c r="D31">
        <f t="shared" si="0"/>
        <v>820928.73</v>
      </c>
      <c r="E31" s="31">
        <f t="shared" si="1"/>
        <v>0</v>
      </c>
      <c r="G31" s="5" t="s">
        <v>291</v>
      </c>
      <c r="H31" s="11" t="s">
        <v>259</v>
      </c>
      <c r="I31" s="7">
        <f t="shared" si="2"/>
        <v>877923</v>
      </c>
      <c r="J31" s="8"/>
      <c r="K31" s="9"/>
      <c r="L31" s="8"/>
      <c r="M31" s="9"/>
      <c r="N31" s="8"/>
      <c r="O31" s="9"/>
      <c r="P31" s="8"/>
      <c r="Q31" s="9"/>
      <c r="R31" s="10">
        <v>877923</v>
      </c>
    </row>
    <row r="32" spans="1:18" x14ac:dyDescent="0.25">
      <c r="A32" s="15" t="s">
        <v>279</v>
      </c>
      <c r="B32" s="10">
        <v>21945.42</v>
      </c>
      <c r="D32">
        <f t="shared" si="0"/>
        <v>21945.42</v>
      </c>
      <c r="E32" s="31">
        <f t="shared" si="1"/>
        <v>0</v>
      </c>
      <c r="G32" s="5" t="s">
        <v>291</v>
      </c>
      <c r="H32" s="11" t="s">
        <v>260</v>
      </c>
      <c r="I32" s="7">
        <f t="shared" si="2"/>
        <v>157024.79</v>
      </c>
      <c r="J32" s="8"/>
      <c r="K32" s="9"/>
      <c r="L32" s="8"/>
      <c r="M32" s="9"/>
      <c r="N32" s="8"/>
      <c r="O32" s="9"/>
      <c r="P32" s="8"/>
      <c r="Q32" s="9"/>
      <c r="R32" s="10">
        <v>157024.79</v>
      </c>
    </row>
    <row r="33" spans="1:20" x14ac:dyDescent="0.25">
      <c r="A33" s="15" t="s">
        <v>280</v>
      </c>
      <c r="B33" s="10">
        <v>458504</v>
      </c>
      <c r="D33">
        <f t="shared" si="0"/>
        <v>458504</v>
      </c>
      <c r="E33" s="31">
        <f t="shared" si="1"/>
        <v>0</v>
      </c>
      <c r="G33" s="5" t="s">
        <v>291</v>
      </c>
      <c r="H33" s="11" t="s">
        <v>268</v>
      </c>
      <c r="I33" s="7">
        <f t="shared" si="2"/>
        <v>234437</v>
      </c>
      <c r="J33" s="8"/>
      <c r="K33" s="9"/>
      <c r="L33" s="8"/>
      <c r="M33" s="9"/>
      <c r="N33" s="8"/>
      <c r="O33" s="9"/>
      <c r="P33" s="8"/>
      <c r="Q33" s="9"/>
      <c r="R33" s="10">
        <v>234437</v>
      </c>
    </row>
    <row r="34" spans="1:20" x14ac:dyDescent="0.25">
      <c r="A34" s="15" t="s">
        <v>281</v>
      </c>
      <c r="B34" s="10">
        <v>10000</v>
      </c>
      <c r="D34">
        <f t="shared" si="0"/>
        <v>10000</v>
      </c>
      <c r="E34" s="31">
        <f t="shared" si="1"/>
        <v>0</v>
      </c>
      <c r="G34" s="5" t="s">
        <v>291</v>
      </c>
      <c r="H34" s="11" t="s">
        <v>269</v>
      </c>
      <c r="I34" s="7">
        <f t="shared" si="2"/>
        <v>891238.03</v>
      </c>
      <c r="J34" s="8"/>
      <c r="K34" s="9"/>
      <c r="L34" s="8"/>
      <c r="M34" s="9"/>
      <c r="N34" s="8"/>
      <c r="O34" s="9"/>
      <c r="P34" s="8"/>
      <c r="Q34" s="9"/>
      <c r="R34" s="10">
        <v>891238.03</v>
      </c>
    </row>
    <row r="35" spans="1:20" x14ac:dyDescent="0.25">
      <c r="A35" s="15" t="s">
        <v>236</v>
      </c>
      <c r="B35" s="10">
        <v>496246.81</v>
      </c>
      <c r="D35">
        <f t="shared" si="0"/>
        <v>496246.81</v>
      </c>
      <c r="E35" s="31">
        <f t="shared" si="1"/>
        <v>0</v>
      </c>
      <c r="G35" s="5" t="s">
        <v>291</v>
      </c>
      <c r="H35" s="11" t="s">
        <v>280</v>
      </c>
      <c r="I35" s="7">
        <f t="shared" si="2"/>
        <v>458504</v>
      </c>
      <c r="J35" s="8"/>
      <c r="K35" s="9"/>
      <c r="L35" s="8"/>
      <c r="M35" s="9"/>
      <c r="N35" s="8"/>
      <c r="O35" s="9"/>
      <c r="P35" s="8"/>
      <c r="Q35" s="9"/>
      <c r="R35" s="10">
        <v>458504</v>
      </c>
    </row>
    <row r="36" spans="1:20" x14ac:dyDescent="0.25">
      <c r="A36" s="15" t="s">
        <v>282</v>
      </c>
      <c r="B36" s="10">
        <v>647718</v>
      </c>
      <c r="D36">
        <f t="shared" si="0"/>
        <v>647718</v>
      </c>
      <c r="E36" s="31">
        <f t="shared" si="1"/>
        <v>0</v>
      </c>
      <c r="G36" s="5" t="s">
        <v>291</v>
      </c>
      <c r="H36" s="11" t="s">
        <v>282</v>
      </c>
      <c r="I36" s="7">
        <f t="shared" si="2"/>
        <v>647718</v>
      </c>
      <c r="J36" s="8"/>
      <c r="K36" s="9"/>
      <c r="L36" s="8"/>
      <c r="M36" s="9"/>
      <c r="N36" s="8"/>
      <c r="O36" s="9"/>
      <c r="P36" s="8"/>
      <c r="Q36" s="9"/>
      <c r="R36" s="10">
        <v>647718</v>
      </c>
    </row>
    <row r="37" spans="1:20" x14ac:dyDescent="0.25">
      <c r="A37" s="15" t="s">
        <v>283</v>
      </c>
      <c r="B37" s="10">
        <v>313324.14</v>
      </c>
      <c r="D37">
        <f t="shared" si="0"/>
        <v>313324.14</v>
      </c>
      <c r="E37" s="31">
        <f t="shared" si="1"/>
        <v>0</v>
      </c>
      <c r="G37" s="5" t="s">
        <v>291</v>
      </c>
      <c r="H37" s="11" t="s">
        <v>284</v>
      </c>
      <c r="I37" s="7">
        <f t="shared" si="2"/>
        <v>34317</v>
      </c>
      <c r="J37" s="8"/>
      <c r="K37" s="9"/>
      <c r="L37" s="8"/>
      <c r="M37" s="9"/>
      <c r="N37" s="8"/>
      <c r="O37" s="9"/>
      <c r="P37" s="8"/>
      <c r="Q37" s="9"/>
      <c r="R37" s="10">
        <v>34317</v>
      </c>
    </row>
    <row r="38" spans="1:20" x14ac:dyDescent="0.25">
      <c r="A38" s="15" t="s">
        <v>284</v>
      </c>
      <c r="B38" s="10">
        <v>34317</v>
      </c>
      <c r="D38">
        <f t="shared" si="0"/>
        <v>34317</v>
      </c>
      <c r="E38" s="31">
        <f t="shared" si="1"/>
        <v>0</v>
      </c>
      <c r="G38" s="5" t="s">
        <v>291</v>
      </c>
      <c r="H38" s="11" t="s">
        <v>289</v>
      </c>
      <c r="I38" s="7">
        <f t="shared" si="2"/>
        <v>12860.52</v>
      </c>
      <c r="J38" s="8"/>
      <c r="K38" s="9"/>
      <c r="L38" s="8"/>
      <c r="M38" s="9"/>
      <c r="N38" s="8"/>
      <c r="O38" s="9"/>
      <c r="P38" s="8"/>
      <c r="Q38" s="7">
        <v>12860.52</v>
      </c>
      <c r="R38" s="8"/>
    </row>
    <row r="39" spans="1:20" x14ac:dyDescent="0.25">
      <c r="A39" s="15" t="s">
        <v>285</v>
      </c>
      <c r="B39" s="10">
        <v>15925</v>
      </c>
      <c r="D39">
        <f t="shared" si="0"/>
        <v>15925</v>
      </c>
      <c r="E39" s="31">
        <f t="shared" si="1"/>
        <v>0</v>
      </c>
      <c r="G39" s="5" t="s">
        <v>245</v>
      </c>
      <c r="H39" s="11" t="s">
        <v>252</v>
      </c>
      <c r="I39" s="7">
        <f t="shared" si="2"/>
        <v>2991683</v>
      </c>
      <c r="J39" s="10">
        <v>2991683</v>
      </c>
      <c r="K39" s="9"/>
      <c r="L39" s="8"/>
      <c r="M39" s="9"/>
      <c r="N39" s="8"/>
      <c r="O39" s="9"/>
      <c r="P39" s="8"/>
      <c r="Q39" s="9"/>
      <c r="R39" s="8"/>
    </row>
    <row r="40" spans="1:20" x14ac:dyDescent="0.25">
      <c r="A40" s="15" t="s">
        <v>286</v>
      </c>
      <c r="B40" s="10">
        <v>1468223</v>
      </c>
      <c r="D40">
        <f t="shared" si="0"/>
        <v>1468223</v>
      </c>
      <c r="E40" s="31">
        <f t="shared" si="1"/>
        <v>0</v>
      </c>
      <c r="G40" s="5" t="s">
        <v>245</v>
      </c>
      <c r="H40" s="11" t="s">
        <v>272</v>
      </c>
      <c r="I40" s="7">
        <f t="shared" si="2"/>
        <v>1881315</v>
      </c>
      <c r="J40" s="10">
        <v>436000</v>
      </c>
      <c r="K40" s="9"/>
      <c r="L40" s="8"/>
      <c r="M40" s="7">
        <v>764500</v>
      </c>
      <c r="N40" s="10">
        <v>480150</v>
      </c>
      <c r="O40" s="9"/>
      <c r="P40" s="10">
        <v>200665</v>
      </c>
      <c r="Q40" s="9"/>
      <c r="R40" s="8"/>
    </row>
    <row r="41" spans="1:20" x14ac:dyDescent="0.25">
      <c r="A41" s="15" t="s">
        <v>287</v>
      </c>
      <c r="B41" s="10">
        <v>211742.63</v>
      </c>
      <c r="D41">
        <f t="shared" si="0"/>
        <v>211742.63</v>
      </c>
      <c r="E41" s="31">
        <f t="shared" si="1"/>
        <v>0</v>
      </c>
      <c r="G41" s="5" t="s">
        <v>245</v>
      </c>
      <c r="H41" s="11" t="s">
        <v>275</v>
      </c>
      <c r="I41" s="7">
        <f t="shared" si="2"/>
        <v>1842785</v>
      </c>
      <c r="J41" s="8"/>
      <c r="K41" s="9"/>
      <c r="L41" s="8"/>
      <c r="M41" s="9"/>
      <c r="N41" s="8"/>
      <c r="O41" s="9"/>
      <c r="P41" s="10">
        <v>1842785</v>
      </c>
      <c r="Q41" s="9"/>
      <c r="R41" s="8"/>
    </row>
    <row r="42" spans="1:20" x14ac:dyDescent="0.25">
      <c r="A42" s="15" t="s">
        <v>288</v>
      </c>
      <c r="B42" s="10">
        <v>25048</v>
      </c>
      <c r="D42">
        <f t="shared" si="0"/>
        <v>25048</v>
      </c>
      <c r="E42" s="31">
        <f t="shared" si="1"/>
        <v>0</v>
      </c>
      <c r="G42" s="5" t="s">
        <v>245</v>
      </c>
      <c r="H42" s="11" t="s">
        <v>234</v>
      </c>
      <c r="I42" s="7">
        <f t="shared" si="2"/>
        <v>1403517.55</v>
      </c>
      <c r="J42" s="10">
        <v>537279.4</v>
      </c>
      <c r="K42" s="7">
        <v>866238.15</v>
      </c>
      <c r="L42" s="8"/>
      <c r="M42" s="9"/>
      <c r="N42" s="8"/>
      <c r="O42" s="9"/>
      <c r="P42" s="8"/>
      <c r="Q42" s="9"/>
      <c r="R42" s="8"/>
    </row>
    <row r="43" spans="1:20" x14ac:dyDescent="0.25">
      <c r="A43" s="15" t="s">
        <v>289</v>
      </c>
      <c r="B43" s="10">
        <v>12860.52</v>
      </c>
      <c r="D43">
        <f t="shared" si="0"/>
        <v>12860.52</v>
      </c>
      <c r="E43" s="31">
        <f t="shared" si="1"/>
        <v>0</v>
      </c>
      <c r="G43" s="5" t="s">
        <v>245</v>
      </c>
      <c r="H43" s="11" t="s">
        <v>286</v>
      </c>
      <c r="I43" s="7">
        <f t="shared" si="2"/>
        <v>1468223</v>
      </c>
      <c r="J43" s="8"/>
      <c r="K43" s="9"/>
      <c r="L43" s="8"/>
      <c r="M43" s="9"/>
      <c r="N43" s="8"/>
      <c r="O43" s="9"/>
      <c r="P43" s="8"/>
      <c r="Q43" s="7">
        <v>1468223</v>
      </c>
      <c r="R43" s="8"/>
    </row>
    <row r="44" spans="1:20" x14ac:dyDescent="0.25">
      <c r="A44" s="3" t="s">
        <v>121</v>
      </c>
      <c r="B44" s="13">
        <f>SUM(B2:B43)</f>
        <v>21281463.650000002</v>
      </c>
      <c r="D44" s="13">
        <f t="shared" ref="D44:E44" si="3">SUM(D2:D43)</f>
        <v>21281463.650000002</v>
      </c>
      <c r="E44" s="13">
        <f t="shared" si="3"/>
        <v>0</v>
      </c>
      <c r="G44" s="12"/>
      <c r="H44" s="3" t="s">
        <v>121</v>
      </c>
      <c r="I44" s="13">
        <v>21281463.649999999</v>
      </c>
      <c r="J44" s="14">
        <v>5914982.4900000002</v>
      </c>
      <c r="K44" s="13">
        <v>1657403.67</v>
      </c>
      <c r="L44" s="14">
        <v>939289.4</v>
      </c>
      <c r="M44" s="13">
        <v>920041.9</v>
      </c>
      <c r="N44" s="14">
        <v>843237.7</v>
      </c>
      <c r="O44" s="13">
        <v>457985.89</v>
      </c>
      <c r="P44" s="14">
        <v>2145580.7799999998</v>
      </c>
      <c r="Q44" s="13">
        <v>1882561.4</v>
      </c>
      <c r="R44" s="14">
        <v>6520380.4199999999</v>
      </c>
      <c r="S44" s="16">
        <f>SUM(J44:R44)</f>
        <v>21281463.649999999</v>
      </c>
      <c r="T44" s="18">
        <f>+I44-S44</f>
        <v>0</v>
      </c>
    </row>
    <row r="45" spans="1:20" x14ac:dyDescent="0.25">
      <c r="I45" s="18">
        <f>+B44-I44</f>
        <v>0</v>
      </c>
    </row>
  </sheetData>
  <conditionalFormatting sqref="A2:A43 H2:H43">
    <cfRule type="duplicateValues" dxfId="399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E21" sqref="E21"/>
    </sheetView>
  </sheetViews>
  <sheetFormatPr defaultRowHeight="15" x14ac:dyDescent="0.25"/>
  <cols>
    <col min="1" max="1" width="18.5703125" bestFit="1" customWidth="1"/>
    <col min="2" max="2" width="20.140625" style="44" bestFit="1" customWidth="1"/>
    <col min="3" max="3" width="18.42578125" style="44" bestFit="1" customWidth="1"/>
    <col min="4" max="7" width="19.85546875" style="44" bestFit="1" customWidth="1"/>
    <col min="8" max="8" width="20.85546875" style="44" bestFit="1" customWidth="1"/>
    <col min="9" max="10" width="22" style="44" bestFit="1" customWidth="1"/>
    <col min="11" max="11" width="19.42578125" style="44" bestFit="1" customWidth="1"/>
  </cols>
  <sheetData>
    <row r="1" spans="1:11" ht="18.75" x14ac:dyDescent="0.3">
      <c r="A1" s="69" t="s">
        <v>402</v>
      </c>
    </row>
    <row r="2" spans="1:11" x14ac:dyDescent="0.25">
      <c r="A2" s="36" t="s">
        <v>309</v>
      </c>
      <c r="B2" s="44" t="s">
        <v>298</v>
      </c>
      <c r="C2" s="44" t="s">
        <v>299</v>
      </c>
      <c r="D2" s="44" t="s">
        <v>300</v>
      </c>
      <c r="E2" s="44" t="s">
        <v>301</v>
      </c>
      <c r="F2" s="44" t="s">
        <v>302</v>
      </c>
      <c r="G2" s="44" t="s">
        <v>303</v>
      </c>
      <c r="H2" s="44" t="s">
        <v>304</v>
      </c>
      <c r="I2" s="44" t="s">
        <v>305</v>
      </c>
      <c r="J2" s="44" t="s">
        <v>306</v>
      </c>
      <c r="K2" s="44" t="s">
        <v>307</v>
      </c>
    </row>
    <row r="3" spans="1:11" x14ac:dyDescent="0.25">
      <c r="A3" s="37" t="s">
        <v>210</v>
      </c>
      <c r="B3" s="44">
        <v>622075</v>
      </c>
      <c r="C3" s="44">
        <v>430700</v>
      </c>
      <c r="D3" s="44">
        <v>0</v>
      </c>
      <c r="E3" s="44">
        <v>0</v>
      </c>
      <c r="F3" s="44">
        <v>191375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</row>
    <row r="4" spans="1:11" x14ac:dyDescent="0.25">
      <c r="A4" s="37" t="s">
        <v>240</v>
      </c>
      <c r="B4" s="44">
        <v>12026762.41</v>
      </c>
      <c r="C4" s="44">
        <v>10559500.260000002</v>
      </c>
      <c r="D4" s="44">
        <v>1235900</v>
      </c>
      <c r="E4" s="44">
        <v>231362.15000000002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</row>
    <row r="5" spans="1:11" x14ac:dyDescent="0.25">
      <c r="A5" s="37" t="s">
        <v>241</v>
      </c>
      <c r="B5" s="44">
        <v>913669.46</v>
      </c>
      <c r="C5" s="44">
        <v>913669.46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v>0</v>
      </c>
    </row>
    <row r="6" spans="1:11" x14ac:dyDescent="0.25">
      <c r="A6" s="37" t="s">
        <v>196</v>
      </c>
      <c r="B6" s="44">
        <v>64450</v>
      </c>
      <c r="C6" s="44">
        <v>0</v>
      </c>
      <c r="D6" s="44">
        <v>0</v>
      </c>
      <c r="E6" s="44">
        <v>0</v>
      </c>
      <c r="F6" s="44">
        <v>0</v>
      </c>
      <c r="G6" s="44">
        <v>64450</v>
      </c>
      <c r="H6" s="44">
        <v>0</v>
      </c>
      <c r="I6" s="44">
        <v>0</v>
      </c>
      <c r="J6" s="44">
        <v>0</v>
      </c>
      <c r="K6" s="44">
        <v>0</v>
      </c>
    </row>
    <row r="7" spans="1:11" x14ac:dyDescent="0.25">
      <c r="A7" s="37" t="s">
        <v>11</v>
      </c>
      <c r="B7" s="44">
        <v>16257522.359999999</v>
      </c>
      <c r="C7" s="44">
        <v>1616573</v>
      </c>
      <c r="D7" s="44">
        <v>2811956</v>
      </c>
      <c r="E7" s="44">
        <v>2308600</v>
      </c>
      <c r="F7" s="44">
        <v>1472565</v>
      </c>
      <c r="G7" s="44">
        <v>3198507</v>
      </c>
      <c r="H7" s="44">
        <v>3433392.84</v>
      </c>
      <c r="I7" s="44">
        <v>1379373.52</v>
      </c>
      <c r="J7" s="44">
        <v>2600</v>
      </c>
      <c r="K7" s="44">
        <v>33955</v>
      </c>
    </row>
    <row r="8" spans="1:11" x14ac:dyDescent="0.25">
      <c r="A8" s="37" t="s">
        <v>41</v>
      </c>
      <c r="B8" s="44">
        <v>48756389.350000001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297680</v>
      </c>
      <c r="I8" s="44">
        <v>1078159</v>
      </c>
      <c r="J8" s="44">
        <v>1621800.25</v>
      </c>
      <c r="K8" s="44">
        <v>45758750.100000001</v>
      </c>
    </row>
    <row r="9" spans="1:11" x14ac:dyDescent="0.25">
      <c r="A9" s="37" t="s">
        <v>147</v>
      </c>
      <c r="B9" s="44">
        <v>95</v>
      </c>
      <c r="C9" s="44">
        <v>95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v>0</v>
      </c>
    </row>
    <row r="10" spans="1:11" x14ac:dyDescent="0.25">
      <c r="A10" s="37" t="s">
        <v>197</v>
      </c>
      <c r="B10" s="44">
        <v>255041</v>
      </c>
      <c r="C10" s="44">
        <v>144916</v>
      </c>
      <c r="D10" s="44">
        <v>81925</v>
      </c>
      <c r="E10" s="44">
        <v>0</v>
      </c>
      <c r="F10" s="44">
        <v>0</v>
      </c>
      <c r="G10" s="44">
        <v>0</v>
      </c>
      <c r="H10" s="44">
        <v>28200</v>
      </c>
      <c r="I10" s="44">
        <v>0</v>
      </c>
      <c r="J10" s="44">
        <v>0</v>
      </c>
      <c r="K10" s="44">
        <v>0</v>
      </c>
    </row>
    <row r="11" spans="1:11" x14ac:dyDescent="0.25">
      <c r="A11" s="37" t="s">
        <v>290</v>
      </c>
      <c r="B11" s="44">
        <v>6406801.9800000004</v>
      </c>
      <c r="C11" s="44">
        <v>1443453.63</v>
      </c>
      <c r="D11" s="44">
        <v>775240.52</v>
      </c>
      <c r="E11" s="44">
        <v>939289.39999999991</v>
      </c>
      <c r="F11" s="44">
        <v>155541.9</v>
      </c>
      <c r="G11" s="44">
        <v>363087.7</v>
      </c>
      <c r="H11" s="44">
        <v>457985.89</v>
      </c>
      <c r="I11" s="44">
        <v>102130.78</v>
      </c>
      <c r="J11" s="44">
        <v>401477.88</v>
      </c>
      <c r="K11" s="44">
        <v>1768594.28</v>
      </c>
    </row>
    <row r="12" spans="1:11" x14ac:dyDescent="0.25">
      <c r="A12" s="37" t="s">
        <v>242</v>
      </c>
      <c r="B12" s="44">
        <v>78897.64</v>
      </c>
      <c r="C12" s="44">
        <v>340</v>
      </c>
      <c r="D12" s="44">
        <v>5200</v>
      </c>
      <c r="E12" s="44">
        <v>0</v>
      </c>
      <c r="F12" s="44">
        <v>0</v>
      </c>
      <c r="G12" s="44">
        <v>0</v>
      </c>
      <c r="H12" s="44">
        <v>700</v>
      </c>
      <c r="I12" s="44">
        <v>0</v>
      </c>
      <c r="J12" s="44">
        <v>72657.64</v>
      </c>
      <c r="K12" s="44">
        <v>0</v>
      </c>
    </row>
    <row r="13" spans="1:11" x14ac:dyDescent="0.25">
      <c r="A13" s="37" t="s">
        <v>114</v>
      </c>
      <c r="B13" s="44">
        <v>1658447</v>
      </c>
      <c r="C13" s="44">
        <v>1658447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</row>
    <row r="14" spans="1:11" x14ac:dyDescent="0.25">
      <c r="A14" s="37" t="s">
        <v>116</v>
      </c>
      <c r="B14" s="44">
        <v>5052371.25</v>
      </c>
      <c r="C14" s="44">
        <v>1659000</v>
      </c>
      <c r="D14" s="44">
        <v>5950</v>
      </c>
      <c r="E14" s="44">
        <v>80925</v>
      </c>
      <c r="F14" s="44">
        <v>0</v>
      </c>
      <c r="G14" s="44">
        <v>0</v>
      </c>
      <c r="H14" s="44">
        <v>468450</v>
      </c>
      <c r="I14" s="44">
        <v>1196972.25</v>
      </c>
      <c r="J14" s="44">
        <v>1125550</v>
      </c>
      <c r="K14" s="44">
        <v>515524</v>
      </c>
    </row>
    <row r="15" spans="1:11" x14ac:dyDescent="0.25">
      <c r="A15" s="37" t="s">
        <v>244</v>
      </c>
      <c r="B15" s="44">
        <v>284234.09000000003</v>
      </c>
      <c r="C15" s="44">
        <v>24976.91</v>
      </c>
      <c r="D15" s="44">
        <v>60000</v>
      </c>
      <c r="E15" s="44">
        <v>0</v>
      </c>
      <c r="F15" s="44">
        <v>0</v>
      </c>
      <c r="G15" s="44">
        <v>0</v>
      </c>
      <c r="H15" s="44">
        <v>709.98</v>
      </c>
      <c r="I15" s="44">
        <v>198547.20000000001</v>
      </c>
      <c r="J15" s="44">
        <v>0</v>
      </c>
      <c r="K15" s="44">
        <v>0</v>
      </c>
    </row>
    <row r="16" spans="1:11" x14ac:dyDescent="0.25">
      <c r="A16" s="37" t="s">
        <v>213</v>
      </c>
      <c r="B16" s="44">
        <v>27592583.359999999</v>
      </c>
      <c r="C16" s="44">
        <v>17391147</v>
      </c>
      <c r="D16" s="44">
        <v>10201436.359999999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</row>
    <row r="17" spans="1:11" x14ac:dyDescent="0.25">
      <c r="A17" s="37" t="s">
        <v>118</v>
      </c>
      <c r="B17" s="44">
        <v>7642508.5599999996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2243843.16</v>
      </c>
      <c r="K17" s="44">
        <v>5398665.4000000004</v>
      </c>
    </row>
    <row r="18" spans="1:11" x14ac:dyDescent="0.25">
      <c r="A18" s="37" t="s">
        <v>296</v>
      </c>
      <c r="B18" s="44">
        <v>985733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985733</v>
      </c>
      <c r="K18" s="44">
        <v>0</v>
      </c>
    </row>
    <row r="19" spans="1:11" x14ac:dyDescent="0.25">
      <c r="A19" s="37" t="s">
        <v>220</v>
      </c>
      <c r="B19" s="44">
        <v>10161065</v>
      </c>
      <c r="C19" s="44">
        <v>6644004</v>
      </c>
      <c r="D19" s="44">
        <v>683100</v>
      </c>
      <c r="E19" s="44">
        <v>0</v>
      </c>
      <c r="F19" s="44">
        <v>1560475</v>
      </c>
      <c r="G19" s="44">
        <v>1109536</v>
      </c>
      <c r="H19" s="44">
        <v>163950</v>
      </c>
      <c r="I19" s="44">
        <v>0</v>
      </c>
      <c r="J19" s="44">
        <v>0</v>
      </c>
      <c r="K19" s="44">
        <v>0</v>
      </c>
    </row>
    <row r="20" spans="1:11" x14ac:dyDescent="0.25">
      <c r="A20" s="37" t="s">
        <v>206</v>
      </c>
      <c r="B20" s="44">
        <v>3839120</v>
      </c>
      <c r="C20" s="44">
        <v>3824555</v>
      </c>
      <c r="D20" s="44">
        <v>14565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</row>
    <row r="21" spans="1:11" x14ac:dyDescent="0.25">
      <c r="A21" s="37" t="s">
        <v>291</v>
      </c>
      <c r="B21" s="44">
        <v>3613909.4899999998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12860.52</v>
      </c>
      <c r="K21" s="44">
        <v>3601048.9699999997</v>
      </c>
    </row>
    <row r="22" spans="1:11" x14ac:dyDescent="0.25">
      <c r="A22" s="37" t="s">
        <v>245</v>
      </c>
      <c r="B22" s="44">
        <v>11169760.75</v>
      </c>
      <c r="C22" s="44">
        <v>5547199.6000000006</v>
      </c>
      <c r="D22" s="44">
        <v>866238.15</v>
      </c>
      <c r="E22" s="44">
        <v>0</v>
      </c>
      <c r="F22" s="44">
        <v>764500</v>
      </c>
      <c r="G22" s="44">
        <v>480150</v>
      </c>
      <c r="H22" s="44">
        <v>0</v>
      </c>
      <c r="I22" s="44">
        <v>2043450</v>
      </c>
      <c r="J22" s="44">
        <v>1468223</v>
      </c>
      <c r="K22" s="44">
        <v>0</v>
      </c>
    </row>
    <row r="23" spans="1:11" hidden="1" x14ac:dyDescent="0.25">
      <c r="A23" s="37" t="s">
        <v>308</v>
      </c>
    </row>
    <row r="24" spans="1:11" x14ac:dyDescent="0.25">
      <c r="A24" s="37" t="s">
        <v>121</v>
      </c>
      <c r="B24" s="44">
        <v>157381436.70000002</v>
      </c>
      <c r="C24" s="44">
        <v>51858576.860000007</v>
      </c>
      <c r="D24" s="44">
        <v>16741511.029999999</v>
      </c>
      <c r="E24" s="44">
        <v>3560176.55</v>
      </c>
      <c r="F24" s="44">
        <v>4144456.9</v>
      </c>
      <c r="G24" s="44">
        <v>5215730.7</v>
      </c>
      <c r="H24" s="44">
        <v>4851068.71</v>
      </c>
      <c r="I24" s="44">
        <v>5998632.75</v>
      </c>
      <c r="J24" s="44">
        <v>7934745.4499999993</v>
      </c>
      <c r="K24" s="44">
        <v>57076537.75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Views>
    <sheetView tabSelected="1" zoomScale="85" zoomScaleNormal="85" workbookViewId="0">
      <selection activeCell="H15" sqref="H15"/>
    </sheetView>
  </sheetViews>
  <sheetFormatPr defaultRowHeight="15" x14ac:dyDescent="0.25"/>
  <cols>
    <col min="1" max="1" width="34.140625" customWidth="1"/>
    <col min="2" max="2" width="32.5703125" style="44" bestFit="1" customWidth="1"/>
    <col min="4" max="4" width="11.85546875" bestFit="1" customWidth="1"/>
    <col min="5" max="5" width="10.5703125" style="78" customWidth="1"/>
  </cols>
  <sheetData>
    <row r="1" spans="1:5" x14ac:dyDescent="0.25">
      <c r="A1" s="53" t="s">
        <v>210</v>
      </c>
      <c r="B1" s="45" t="s">
        <v>310</v>
      </c>
      <c r="D1" s="79" t="s">
        <v>411</v>
      </c>
      <c r="E1" s="79"/>
    </row>
    <row r="2" spans="1:5" x14ac:dyDescent="0.25">
      <c r="A2" s="53" t="s">
        <v>297</v>
      </c>
      <c r="B2" s="45" t="s">
        <v>0</v>
      </c>
      <c r="D2" s="55" t="s">
        <v>413</v>
      </c>
      <c r="E2" s="76" t="s">
        <v>412</v>
      </c>
    </row>
    <row r="3" spans="1:5" x14ac:dyDescent="0.25">
      <c r="A3" s="12" t="s">
        <v>211</v>
      </c>
      <c r="B3" s="43">
        <v>430700</v>
      </c>
      <c r="D3" s="12"/>
      <c r="E3" s="77"/>
    </row>
    <row r="4" spans="1:5" x14ac:dyDescent="0.25">
      <c r="A4" s="12" t="s">
        <v>294</v>
      </c>
      <c r="B4" s="43">
        <v>190900</v>
      </c>
      <c r="D4" s="75">
        <v>46256</v>
      </c>
      <c r="E4" s="77" t="s">
        <v>414</v>
      </c>
    </row>
    <row r="5" spans="1:5" x14ac:dyDescent="0.25">
      <c r="A5" s="12" t="s">
        <v>311</v>
      </c>
      <c r="B5" s="80">
        <f>SUBTOTAL(109,Table2[Pending Bills])</f>
        <v>622075</v>
      </c>
    </row>
    <row r="7" spans="1:5" x14ac:dyDescent="0.25">
      <c r="A7" s="53" t="s">
        <v>213</v>
      </c>
      <c r="B7" s="45" t="s">
        <v>310</v>
      </c>
    </row>
    <row r="8" spans="1:5" x14ac:dyDescent="0.25">
      <c r="A8" s="53" t="s">
        <v>297</v>
      </c>
      <c r="B8" s="45" t="s">
        <v>0</v>
      </c>
    </row>
    <row r="9" spans="1:5" x14ac:dyDescent="0.25">
      <c r="A9" s="12" t="s">
        <v>214</v>
      </c>
      <c r="B9" s="43">
        <v>3013130</v>
      </c>
      <c r="D9" s="75"/>
      <c r="E9" s="77"/>
    </row>
    <row r="10" spans="1:5" x14ac:dyDescent="0.25">
      <c r="A10" s="12" t="s">
        <v>214</v>
      </c>
      <c r="B10" s="43">
        <v>2893087.36</v>
      </c>
      <c r="D10" s="75">
        <v>46256</v>
      </c>
      <c r="E10" s="77" t="s">
        <v>415</v>
      </c>
    </row>
    <row r="11" spans="1:5" x14ac:dyDescent="0.25">
      <c r="A11" s="12" t="s">
        <v>215</v>
      </c>
      <c r="B11" s="43">
        <v>1311295</v>
      </c>
      <c r="D11" s="12"/>
      <c r="E11" s="77"/>
    </row>
    <row r="12" spans="1:5" x14ac:dyDescent="0.25">
      <c r="A12" s="12" t="s">
        <v>215</v>
      </c>
      <c r="B12" s="43">
        <v>9289726</v>
      </c>
      <c r="D12" s="12"/>
      <c r="E12" s="77"/>
    </row>
    <row r="13" spans="1:5" x14ac:dyDescent="0.25">
      <c r="A13" s="12" t="s">
        <v>218</v>
      </c>
      <c r="B13" s="43">
        <v>3252785</v>
      </c>
      <c r="D13" s="75">
        <v>46256</v>
      </c>
      <c r="E13" s="77" t="s">
        <v>415</v>
      </c>
    </row>
    <row r="14" spans="1:5" x14ac:dyDescent="0.25">
      <c r="A14" s="12" t="s">
        <v>216</v>
      </c>
      <c r="B14" s="43">
        <v>5070634</v>
      </c>
      <c r="D14" s="12"/>
      <c r="E14" s="77"/>
    </row>
    <row r="15" spans="1:5" x14ac:dyDescent="0.25">
      <c r="A15" s="12" t="s">
        <v>217</v>
      </c>
      <c r="B15" s="43">
        <v>96900</v>
      </c>
      <c r="D15" s="12"/>
      <c r="E15" s="77"/>
    </row>
    <row r="16" spans="1:5" x14ac:dyDescent="0.25">
      <c r="A16" s="12" t="s">
        <v>219</v>
      </c>
      <c r="B16" s="43">
        <v>234300</v>
      </c>
      <c r="D16" s="75">
        <v>46256</v>
      </c>
      <c r="E16" s="77" t="s">
        <v>414</v>
      </c>
    </row>
    <row r="17" spans="1:5" x14ac:dyDescent="0.25">
      <c r="A17" s="12" t="s">
        <v>219</v>
      </c>
      <c r="B17" s="43">
        <v>2430726</v>
      </c>
      <c r="D17" s="75">
        <v>46256</v>
      </c>
      <c r="E17" s="77" t="s">
        <v>414</v>
      </c>
    </row>
    <row r="18" spans="1:5" x14ac:dyDescent="0.25">
      <c r="A18" s="53" t="s">
        <v>311</v>
      </c>
      <c r="B18" s="45">
        <f>SUBTOTAL(109,B9:B17)</f>
        <v>27592583.359999999</v>
      </c>
    </row>
    <row r="20" spans="1:5" x14ac:dyDescent="0.25">
      <c r="A20" s="53" t="s">
        <v>220</v>
      </c>
      <c r="B20" s="45" t="s">
        <v>310</v>
      </c>
    </row>
    <row r="21" spans="1:5" x14ac:dyDescent="0.25">
      <c r="A21" s="53" t="s">
        <v>297</v>
      </c>
      <c r="B21" s="45" t="s">
        <v>0</v>
      </c>
    </row>
    <row r="22" spans="1:5" x14ac:dyDescent="0.25">
      <c r="A22" s="12" t="s">
        <v>221</v>
      </c>
      <c r="B22" s="43">
        <v>3484675</v>
      </c>
      <c r="D22" s="75">
        <v>46256</v>
      </c>
      <c r="E22" s="77" t="s">
        <v>414</v>
      </c>
    </row>
    <row r="23" spans="1:5" x14ac:dyDescent="0.25">
      <c r="A23" s="12" t="s">
        <v>221</v>
      </c>
      <c r="B23" s="43">
        <v>3159329</v>
      </c>
      <c r="D23" s="75">
        <v>46256</v>
      </c>
      <c r="E23" s="77" t="s">
        <v>414</v>
      </c>
    </row>
    <row r="24" spans="1:5" x14ac:dyDescent="0.25">
      <c r="A24" s="12" t="s">
        <v>222</v>
      </c>
      <c r="B24" s="43">
        <v>832050</v>
      </c>
      <c r="D24" s="75">
        <v>46256</v>
      </c>
      <c r="E24" s="77" t="s">
        <v>414</v>
      </c>
    </row>
    <row r="25" spans="1:5" x14ac:dyDescent="0.25">
      <c r="A25" s="12" t="s">
        <v>222</v>
      </c>
      <c r="B25" s="43">
        <v>2685011</v>
      </c>
      <c r="D25" s="75">
        <v>46256</v>
      </c>
      <c r="E25" s="77" t="s">
        <v>414</v>
      </c>
    </row>
    <row r="26" spans="1:5" x14ac:dyDescent="0.25">
      <c r="A26" s="53" t="s">
        <v>311</v>
      </c>
      <c r="B26" s="45">
        <f>SUBTOTAL(109,B22:B25)</f>
        <v>10161065</v>
      </c>
    </row>
    <row r="28" spans="1:5" x14ac:dyDescent="0.25">
      <c r="A28" s="71" t="s">
        <v>121</v>
      </c>
      <c r="B28" s="45">
        <f>+B26+B18+Table2[[#Totals],[Pending Bills]]</f>
        <v>38375723.359999999</v>
      </c>
    </row>
    <row r="30" spans="1:5" x14ac:dyDescent="0.25">
      <c r="A30" s="53" t="s">
        <v>240</v>
      </c>
      <c r="B30" s="45" t="s">
        <v>310</v>
      </c>
    </row>
    <row r="31" spans="1:5" x14ac:dyDescent="0.25">
      <c r="A31" s="53" t="s">
        <v>297</v>
      </c>
      <c r="B31" s="45" t="s">
        <v>0</v>
      </c>
    </row>
    <row r="32" spans="1:5" x14ac:dyDescent="0.25">
      <c r="A32" s="12" t="s">
        <v>227</v>
      </c>
      <c r="B32" s="43">
        <v>5472262.1500000004</v>
      </c>
      <c r="D32" s="12"/>
      <c r="E32" s="77"/>
    </row>
    <row r="33" spans="1:5" x14ac:dyDescent="0.25">
      <c r="A33" s="12" t="s">
        <v>232</v>
      </c>
      <c r="B33" s="43">
        <v>5742269.7800000003</v>
      </c>
      <c r="D33" s="12"/>
      <c r="E33" s="77"/>
    </row>
    <row r="34" spans="1:5" x14ac:dyDescent="0.25">
      <c r="A34" s="12" t="s">
        <v>233</v>
      </c>
      <c r="B34" s="43">
        <v>812230.48</v>
      </c>
      <c r="D34" s="12"/>
      <c r="E34" s="77"/>
    </row>
    <row r="35" spans="1:5" x14ac:dyDescent="0.25">
      <c r="A35" s="12" t="s">
        <v>311</v>
      </c>
      <c r="B35" s="45">
        <f>SUM(B32:B34)</f>
        <v>12026762.41</v>
      </c>
    </row>
    <row r="37" spans="1:5" x14ac:dyDescent="0.25">
      <c r="A37" s="53" t="s">
        <v>241</v>
      </c>
      <c r="B37" s="45" t="s">
        <v>310</v>
      </c>
    </row>
    <row r="38" spans="1:5" x14ac:dyDescent="0.25">
      <c r="A38" s="53" t="s">
        <v>297</v>
      </c>
      <c r="B38" s="45" t="s">
        <v>0</v>
      </c>
      <c r="D38" s="12"/>
      <c r="E38" s="77"/>
    </row>
    <row r="39" spans="1:5" x14ac:dyDescent="0.25">
      <c r="A39" s="12" t="s">
        <v>257</v>
      </c>
      <c r="B39" s="43">
        <v>319.64999999999998</v>
      </c>
      <c r="D39" s="12"/>
      <c r="E39" s="77"/>
    </row>
    <row r="40" spans="1:5" x14ac:dyDescent="0.25">
      <c r="A40" s="12" t="s">
        <v>236</v>
      </c>
      <c r="B40" s="43">
        <v>496246.81</v>
      </c>
      <c r="D40" s="75">
        <v>46247</v>
      </c>
      <c r="E40" s="77" t="s">
        <v>416</v>
      </c>
    </row>
    <row r="41" spans="1:5" x14ac:dyDescent="0.25">
      <c r="A41" s="12" t="s">
        <v>236</v>
      </c>
      <c r="B41" s="43">
        <v>417103</v>
      </c>
      <c r="D41" s="75">
        <v>46247</v>
      </c>
      <c r="E41" s="77" t="s">
        <v>416</v>
      </c>
    </row>
    <row r="42" spans="1:5" x14ac:dyDescent="0.25">
      <c r="A42" s="12" t="s">
        <v>311</v>
      </c>
      <c r="B42" s="45">
        <v>913669.46</v>
      </c>
    </row>
    <row r="44" spans="1:5" x14ac:dyDescent="0.25">
      <c r="A44" s="53" t="s">
        <v>242</v>
      </c>
      <c r="B44" s="45" t="s">
        <v>310</v>
      </c>
    </row>
    <row r="45" spans="1:5" x14ac:dyDescent="0.25">
      <c r="A45" s="53" t="s">
        <v>297</v>
      </c>
      <c r="B45" s="45" t="s">
        <v>0</v>
      </c>
    </row>
    <row r="46" spans="1:5" x14ac:dyDescent="0.25">
      <c r="A46" s="12" t="s">
        <v>247</v>
      </c>
      <c r="B46" s="43">
        <v>72657.64</v>
      </c>
      <c r="D46" s="12"/>
      <c r="E46" s="77"/>
    </row>
    <row r="47" spans="1:5" x14ac:dyDescent="0.25">
      <c r="A47" s="12" t="s">
        <v>226</v>
      </c>
      <c r="B47" s="43">
        <v>340</v>
      </c>
      <c r="D47" s="12"/>
      <c r="E47" s="77"/>
    </row>
    <row r="48" spans="1:5" x14ac:dyDescent="0.25">
      <c r="A48" s="12" t="s">
        <v>228</v>
      </c>
      <c r="B48" s="43">
        <v>700</v>
      </c>
      <c r="D48" s="12"/>
      <c r="E48" s="77"/>
    </row>
    <row r="49" spans="1:5" x14ac:dyDescent="0.25">
      <c r="A49" s="12" t="s">
        <v>230</v>
      </c>
      <c r="B49" s="43">
        <v>5200</v>
      </c>
      <c r="D49" s="12"/>
      <c r="E49" s="77"/>
    </row>
    <row r="50" spans="1:5" x14ac:dyDescent="0.25">
      <c r="A50" s="12" t="s">
        <v>311</v>
      </c>
      <c r="B50" s="45">
        <v>78897.64</v>
      </c>
    </row>
    <row r="52" spans="1:5" x14ac:dyDescent="0.25">
      <c r="A52" s="53" t="s">
        <v>244</v>
      </c>
      <c r="B52" s="45" t="s">
        <v>310</v>
      </c>
    </row>
    <row r="53" spans="1:5" x14ac:dyDescent="0.25">
      <c r="A53" s="53" t="s">
        <v>297</v>
      </c>
      <c r="B53" s="45" t="s">
        <v>0</v>
      </c>
    </row>
    <row r="54" spans="1:5" x14ac:dyDescent="0.25">
      <c r="A54" s="12" t="s">
        <v>229</v>
      </c>
      <c r="B54" s="43">
        <v>60000</v>
      </c>
      <c r="D54" s="12"/>
      <c r="E54" s="77"/>
    </row>
    <row r="55" spans="1:5" x14ac:dyDescent="0.25">
      <c r="A55" s="12" t="s">
        <v>248</v>
      </c>
      <c r="B55" s="43">
        <v>198547.20000000001</v>
      </c>
      <c r="D55" s="12"/>
      <c r="E55" s="77"/>
    </row>
    <row r="56" spans="1:5" x14ac:dyDescent="0.25">
      <c r="A56" s="12" t="s">
        <v>237</v>
      </c>
      <c r="B56" s="43">
        <v>709.98</v>
      </c>
      <c r="D56" s="12"/>
      <c r="E56" s="77"/>
    </row>
    <row r="57" spans="1:5" x14ac:dyDescent="0.25">
      <c r="A57" s="12" t="s">
        <v>239</v>
      </c>
      <c r="B57" s="43">
        <v>24976.91</v>
      </c>
      <c r="D57" s="12"/>
      <c r="E57" s="77"/>
    </row>
    <row r="58" spans="1:5" x14ac:dyDescent="0.25">
      <c r="A58" s="12"/>
      <c r="B58" s="45">
        <v>284234.09000000003</v>
      </c>
    </row>
    <row r="60" spans="1:5" x14ac:dyDescent="0.25">
      <c r="A60" s="53" t="s">
        <v>245</v>
      </c>
      <c r="B60" s="45" t="s">
        <v>310</v>
      </c>
    </row>
    <row r="61" spans="1:5" x14ac:dyDescent="0.25">
      <c r="A61" s="53" t="s">
        <v>297</v>
      </c>
      <c r="B61" s="45" t="s">
        <v>0</v>
      </c>
    </row>
    <row r="62" spans="1:5" x14ac:dyDescent="0.25">
      <c r="A62" s="12" t="s">
        <v>252</v>
      </c>
      <c r="B62" s="43">
        <v>2991683</v>
      </c>
      <c r="D62" s="75">
        <v>46249</v>
      </c>
      <c r="E62" s="77" t="s">
        <v>417</v>
      </c>
    </row>
    <row r="63" spans="1:5" x14ac:dyDescent="0.25">
      <c r="A63" s="12" t="s">
        <v>272</v>
      </c>
      <c r="B63" s="43">
        <v>1881315</v>
      </c>
      <c r="D63" s="75">
        <v>46249</v>
      </c>
      <c r="E63" s="77" t="s">
        <v>417</v>
      </c>
    </row>
    <row r="64" spans="1:5" x14ac:dyDescent="0.25">
      <c r="A64" s="12" t="s">
        <v>275</v>
      </c>
      <c r="B64" s="43">
        <v>1842785</v>
      </c>
      <c r="D64" s="12"/>
      <c r="E64" s="77"/>
    </row>
    <row r="65" spans="1:5" x14ac:dyDescent="0.25">
      <c r="A65" s="12" t="s">
        <v>234</v>
      </c>
      <c r="B65" s="43">
        <v>1403517.55</v>
      </c>
      <c r="D65" s="75">
        <v>46249</v>
      </c>
      <c r="E65" s="77" t="s">
        <v>417</v>
      </c>
    </row>
    <row r="66" spans="1:5" x14ac:dyDescent="0.25">
      <c r="A66" s="12" t="s">
        <v>234</v>
      </c>
      <c r="B66" s="43">
        <v>1582237.2</v>
      </c>
      <c r="D66" s="75">
        <v>46249</v>
      </c>
      <c r="E66" s="77" t="s">
        <v>417</v>
      </c>
    </row>
    <row r="67" spans="1:5" x14ac:dyDescent="0.25">
      <c r="A67" s="12" t="s">
        <v>286</v>
      </c>
      <c r="B67" s="43">
        <v>1468223</v>
      </c>
      <c r="D67" s="12"/>
      <c r="E67" s="77"/>
    </row>
    <row r="68" spans="1:5" x14ac:dyDescent="0.25">
      <c r="A68" s="12"/>
      <c r="B68" s="45">
        <v>11169760.75</v>
      </c>
    </row>
    <row r="70" spans="1:5" x14ac:dyDescent="0.25">
      <c r="A70" s="53" t="s">
        <v>197</v>
      </c>
      <c r="B70" s="45" t="s">
        <v>310</v>
      </c>
      <c r="D70" s="79" t="s">
        <v>411</v>
      </c>
      <c r="E70" s="79"/>
    </row>
    <row r="71" spans="1:5" x14ac:dyDescent="0.25">
      <c r="A71" s="53" t="s">
        <v>297</v>
      </c>
      <c r="B71" s="45" t="s">
        <v>0</v>
      </c>
      <c r="D71" s="74" t="s">
        <v>413</v>
      </c>
      <c r="E71" s="76" t="s">
        <v>412</v>
      </c>
    </row>
    <row r="72" spans="1:5" x14ac:dyDescent="0.25">
      <c r="A72" s="12" t="s">
        <v>202</v>
      </c>
      <c r="B72" s="43">
        <v>4000</v>
      </c>
      <c r="D72" s="12"/>
      <c r="E72" s="77"/>
    </row>
    <row r="73" spans="1:5" x14ac:dyDescent="0.25">
      <c r="A73" s="12" t="s">
        <v>203</v>
      </c>
      <c r="B73" s="43">
        <v>28200</v>
      </c>
      <c r="D73" s="12"/>
      <c r="E73" s="77"/>
    </row>
    <row r="74" spans="1:5" x14ac:dyDescent="0.25">
      <c r="A74" s="12" t="s">
        <v>231</v>
      </c>
      <c r="B74" s="43">
        <v>65500</v>
      </c>
      <c r="D74" s="12"/>
      <c r="E74" s="77"/>
    </row>
    <row r="75" spans="1:5" x14ac:dyDescent="0.25">
      <c r="A75" s="12" t="s">
        <v>235</v>
      </c>
      <c r="B75" s="43">
        <v>500</v>
      </c>
      <c r="D75" s="12"/>
      <c r="E75" s="77"/>
    </row>
    <row r="76" spans="1:5" x14ac:dyDescent="0.25">
      <c r="A76" s="12" t="s">
        <v>281</v>
      </c>
      <c r="B76" s="43">
        <v>10000</v>
      </c>
      <c r="D76" s="12"/>
      <c r="E76" s="77"/>
    </row>
    <row r="77" spans="1:5" x14ac:dyDescent="0.25">
      <c r="A77" s="12" t="s">
        <v>238</v>
      </c>
      <c r="B77" s="43">
        <v>100309</v>
      </c>
      <c r="D77" s="12"/>
      <c r="E77" s="77"/>
    </row>
    <row r="78" spans="1:5" x14ac:dyDescent="0.25">
      <c r="A78" s="12" t="s">
        <v>285</v>
      </c>
      <c r="B78" s="43">
        <v>15925</v>
      </c>
      <c r="D78" s="12"/>
      <c r="E78" s="77"/>
    </row>
    <row r="79" spans="1:5" x14ac:dyDescent="0.25">
      <c r="A79" s="12" t="s">
        <v>195</v>
      </c>
      <c r="B79" s="43">
        <v>30607</v>
      </c>
      <c r="D79" s="12"/>
      <c r="E79" s="77"/>
    </row>
    <row r="80" spans="1:5" x14ac:dyDescent="0.25">
      <c r="A80" s="12" t="s">
        <v>121</v>
      </c>
      <c r="B80" s="45">
        <v>255041</v>
      </c>
    </row>
    <row r="82" spans="1:5" x14ac:dyDescent="0.25">
      <c r="A82" s="53" t="s">
        <v>290</v>
      </c>
      <c r="B82" s="45" t="s">
        <v>310</v>
      </c>
      <c r="D82" s="79" t="s">
        <v>411</v>
      </c>
      <c r="E82" s="79"/>
    </row>
    <row r="83" spans="1:5" x14ac:dyDescent="0.25">
      <c r="A83" s="53" t="s">
        <v>297</v>
      </c>
      <c r="B83" s="45" t="s">
        <v>0</v>
      </c>
      <c r="D83" s="74" t="s">
        <v>413</v>
      </c>
      <c r="E83" s="76" t="s">
        <v>412</v>
      </c>
    </row>
    <row r="84" spans="1:5" x14ac:dyDescent="0.25">
      <c r="A84" s="12" t="s">
        <v>251</v>
      </c>
      <c r="B84" s="43">
        <v>82308.509999999995</v>
      </c>
      <c r="D84" s="12"/>
      <c r="E84" s="77"/>
    </row>
    <row r="85" spans="1:5" x14ac:dyDescent="0.25">
      <c r="A85" s="12" t="s">
        <v>256</v>
      </c>
      <c r="B85" s="43">
        <v>347424.28</v>
      </c>
      <c r="D85" s="12"/>
      <c r="E85" s="77"/>
    </row>
    <row r="86" spans="1:5" x14ac:dyDescent="0.25">
      <c r="A86" s="12" t="s">
        <v>262</v>
      </c>
      <c r="B86" s="43">
        <v>202127</v>
      </c>
      <c r="D86" s="12"/>
      <c r="E86" s="77"/>
    </row>
    <row r="87" spans="1:5" x14ac:dyDescent="0.25">
      <c r="A87" s="12" t="s">
        <v>264</v>
      </c>
      <c r="B87" s="43">
        <v>35337.160000000003</v>
      </c>
      <c r="D87" s="12"/>
      <c r="E87" s="77"/>
    </row>
    <row r="88" spans="1:5" x14ac:dyDescent="0.25">
      <c r="A88" s="12" t="s">
        <v>265</v>
      </c>
      <c r="B88" s="43">
        <v>1277286.74</v>
      </c>
      <c r="D88" s="12"/>
      <c r="E88" s="77"/>
    </row>
    <row r="89" spans="1:5" x14ac:dyDescent="0.25">
      <c r="A89" s="12" t="s">
        <v>267</v>
      </c>
      <c r="B89" s="43">
        <v>480720.83</v>
      </c>
      <c r="D89" s="12"/>
      <c r="E89" s="77"/>
    </row>
    <row r="90" spans="1:5" x14ac:dyDescent="0.25">
      <c r="A90" s="12" t="s">
        <v>266</v>
      </c>
      <c r="B90" s="43">
        <v>775240.52</v>
      </c>
      <c r="D90" s="12"/>
      <c r="E90" s="77"/>
    </row>
    <row r="91" spans="1:5" x14ac:dyDescent="0.25">
      <c r="A91" s="12" t="s">
        <v>270</v>
      </c>
      <c r="B91" s="43">
        <v>613527.79</v>
      </c>
      <c r="D91" s="12"/>
      <c r="E91" s="77"/>
    </row>
    <row r="92" spans="1:5" x14ac:dyDescent="0.25">
      <c r="A92" s="12" t="s">
        <v>271</v>
      </c>
      <c r="B92" s="43">
        <v>343860</v>
      </c>
      <c r="D92" s="12"/>
      <c r="E92" s="77"/>
    </row>
    <row r="93" spans="1:5" x14ac:dyDescent="0.25">
      <c r="A93" s="12" t="s">
        <v>273</v>
      </c>
      <c r="B93" s="43">
        <v>5845.23</v>
      </c>
      <c r="D93" s="12"/>
      <c r="E93" s="77"/>
    </row>
    <row r="94" spans="1:5" x14ac:dyDescent="0.25">
      <c r="A94" s="12" t="s">
        <v>283</v>
      </c>
      <c r="B94" s="43">
        <v>313324.14</v>
      </c>
      <c r="D94" s="12"/>
      <c r="E94" s="77"/>
    </row>
    <row r="95" spans="1:5" x14ac:dyDescent="0.25">
      <c r="A95" s="12" t="s">
        <v>274</v>
      </c>
      <c r="B95" s="43">
        <v>650299</v>
      </c>
      <c r="D95" s="12"/>
      <c r="E95" s="77"/>
    </row>
    <row r="96" spans="1:5" x14ac:dyDescent="0.25">
      <c r="A96" s="12" t="s">
        <v>276</v>
      </c>
      <c r="B96" s="43">
        <v>199836</v>
      </c>
      <c r="D96" s="12"/>
      <c r="E96" s="77"/>
    </row>
    <row r="97" spans="1:5" x14ac:dyDescent="0.25">
      <c r="A97" s="12" t="s">
        <v>278</v>
      </c>
      <c r="B97" s="43">
        <v>820928.73</v>
      </c>
      <c r="D97" s="12"/>
      <c r="E97" s="77"/>
    </row>
    <row r="98" spans="1:5" x14ac:dyDescent="0.25">
      <c r="A98" s="12" t="s">
        <v>279</v>
      </c>
      <c r="B98" s="43">
        <v>21945.42</v>
      </c>
      <c r="D98" s="12"/>
      <c r="E98" s="77"/>
    </row>
    <row r="99" spans="1:5" x14ac:dyDescent="0.25">
      <c r="A99" s="12" t="s">
        <v>287</v>
      </c>
      <c r="B99" s="43">
        <v>211742.63</v>
      </c>
      <c r="D99" s="12"/>
      <c r="E99" s="77"/>
    </row>
    <row r="100" spans="1:5" x14ac:dyDescent="0.25">
      <c r="A100" s="12" t="s">
        <v>288</v>
      </c>
      <c r="B100" s="43">
        <v>25048</v>
      </c>
      <c r="D100" s="12"/>
      <c r="E100" s="77"/>
    </row>
    <row r="101" spans="1:5" x14ac:dyDescent="0.25">
      <c r="A101" s="12" t="s">
        <v>121</v>
      </c>
      <c r="B101" s="45">
        <v>6406801.9799999995</v>
      </c>
    </row>
    <row r="102" spans="1:5" x14ac:dyDescent="0.25">
      <c r="A102" s="72"/>
      <c r="B102" s="73"/>
    </row>
    <row r="103" spans="1:5" x14ac:dyDescent="0.25">
      <c r="A103" s="53" t="s">
        <v>114</v>
      </c>
      <c r="B103" s="45" t="s">
        <v>310</v>
      </c>
    </row>
    <row r="104" spans="1:5" x14ac:dyDescent="0.25">
      <c r="A104" s="53" t="s">
        <v>297</v>
      </c>
      <c r="B104" s="45" t="s">
        <v>0</v>
      </c>
    </row>
    <row r="105" spans="1:5" x14ac:dyDescent="0.25">
      <c r="A105" s="12" t="s">
        <v>115</v>
      </c>
      <c r="B105" s="43">
        <v>503397</v>
      </c>
      <c r="D105" s="12"/>
      <c r="E105" s="77"/>
    </row>
    <row r="106" spans="1:5" x14ac:dyDescent="0.25">
      <c r="A106" s="12" t="s">
        <v>115</v>
      </c>
      <c r="B106" s="43">
        <v>1155050</v>
      </c>
      <c r="D106" s="12"/>
      <c r="E106" s="77"/>
    </row>
    <row r="107" spans="1:5" x14ac:dyDescent="0.25">
      <c r="A107" s="12" t="s">
        <v>121</v>
      </c>
      <c r="B107" s="45">
        <v>1658447</v>
      </c>
    </row>
    <row r="109" spans="1:5" x14ac:dyDescent="0.25">
      <c r="A109" s="53" t="s">
        <v>206</v>
      </c>
      <c r="B109" s="45" t="s">
        <v>310</v>
      </c>
    </row>
    <row r="110" spans="1:5" x14ac:dyDescent="0.25">
      <c r="A110" s="53" t="s">
        <v>297</v>
      </c>
      <c r="B110" s="45" t="s">
        <v>0</v>
      </c>
    </row>
    <row r="111" spans="1:5" x14ac:dyDescent="0.25">
      <c r="A111" s="12" t="s">
        <v>208</v>
      </c>
      <c r="B111" s="43">
        <v>2738425</v>
      </c>
      <c r="D111" s="12"/>
      <c r="E111" s="77"/>
    </row>
    <row r="112" spans="1:5" x14ac:dyDescent="0.25">
      <c r="A112" s="12" t="s">
        <v>208</v>
      </c>
      <c r="B112" s="43">
        <v>1086175</v>
      </c>
      <c r="D112" s="12"/>
      <c r="E112" s="77"/>
    </row>
    <row r="113" spans="1:5" x14ac:dyDescent="0.25">
      <c r="A113" s="12" t="s">
        <v>223</v>
      </c>
      <c r="B113" s="43">
        <v>14565</v>
      </c>
      <c r="D113" s="12"/>
      <c r="E113" s="77"/>
    </row>
    <row r="114" spans="1:5" x14ac:dyDescent="0.25">
      <c r="A114" s="12" t="s">
        <v>121</v>
      </c>
      <c r="B114" s="45">
        <v>3839165</v>
      </c>
    </row>
  </sheetData>
  <mergeCells count="3">
    <mergeCell ref="D1:E1"/>
    <mergeCell ref="D82:E82"/>
    <mergeCell ref="D70:E7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6"/>
  <sheetViews>
    <sheetView topLeftCell="G58" workbookViewId="0">
      <selection activeCell="R49" sqref="R49"/>
    </sheetView>
  </sheetViews>
  <sheetFormatPr defaultRowHeight="15" x14ac:dyDescent="0.25"/>
  <cols>
    <col min="1" max="1" width="16.5703125" bestFit="1" customWidth="1"/>
    <col min="2" max="2" width="45.7109375" bestFit="1" customWidth="1"/>
    <col min="3" max="3" width="15.42578125" style="44" bestFit="1" customWidth="1"/>
    <col min="4" max="5" width="14.28515625" style="44" bestFit="1" customWidth="1"/>
    <col min="6" max="8" width="12.5703125" style="44" bestFit="1" customWidth="1"/>
    <col min="9" max="9" width="12.85546875" style="44" bestFit="1" customWidth="1"/>
    <col min="10" max="11" width="14" style="44" bestFit="1" customWidth="1"/>
    <col min="12" max="12" width="14.28515625" style="44" bestFit="1" customWidth="1"/>
    <col min="13" max="13" width="11.5703125" bestFit="1" customWidth="1"/>
    <col min="14" max="14" width="45.7109375" bestFit="1" customWidth="1"/>
    <col min="15" max="15" width="19.28515625" style="44" bestFit="1" customWidth="1"/>
  </cols>
  <sheetData>
    <row r="1" spans="1:17" s="39" customFormat="1" x14ac:dyDescent="0.25">
      <c r="A1" s="38" t="s">
        <v>122</v>
      </c>
      <c r="B1" s="4" t="s">
        <v>297</v>
      </c>
      <c r="C1" s="42" t="s">
        <v>0</v>
      </c>
      <c r="D1" s="42" t="s">
        <v>1</v>
      </c>
      <c r="E1" s="42" t="s">
        <v>2</v>
      </c>
      <c r="F1" s="42" t="s">
        <v>3</v>
      </c>
      <c r="G1" s="42" t="s">
        <v>4</v>
      </c>
      <c r="H1" s="42" t="s">
        <v>5</v>
      </c>
      <c r="I1" s="42" t="s">
        <v>6</v>
      </c>
      <c r="J1" s="42" t="s">
        <v>7</v>
      </c>
      <c r="K1" s="42" t="s">
        <v>8</v>
      </c>
      <c r="L1" s="42" t="s">
        <v>9</v>
      </c>
      <c r="N1" s="36" t="s">
        <v>400</v>
      </c>
      <c r="O1" s="44" t="s">
        <v>298</v>
      </c>
      <c r="P1"/>
      <c r="Q1" s="38" t="s">
        <v>401</v>
      </c>
    </row>
    <row r="2" spans="1:17" x14ac:dyDescent="0.25">
      <c r="A2" s="35" t="str">
        <f>KA!G2</f>
        <v>Direct - Active</v>
      </c>
      <c r="B2" s="35" t="str">
        <f>KA!H2</f>
        <v>Chowdayya Poultry Farms Malavalli</v>
      </c>
      <c r="C2" s="43">
        <f>KA!I2</f>
        <v>13625</v>
      </c>
      <c r="D2" s="43">
        <f>KA!J2</f>
        <v>0</v>
      </c>
      <c r="E2" s="43">
        <f>KA!K2</f>
        <v>0</v>
      </c>
      <c r="F2" s="43">
        <f>KA!L2</f>
        <v>0</v>
      </c>
      <c r="G2" s="43">
        <f>KA!M2</f>
        <v>0</v>
      </c>
      <c r="H2" s="43">
        <f>KA!N2</f>
        <v>13625</v>
      </c>
      <c r="I2" s="43">
        <f>KA!O2</f>
        <v>0</v>
      </c>
      <c r="J2" s="43">
        <f>KA!P2</f>
        <v>0</v>
      </c>
      <c r="K2" s="43">
        <f>KA!Q2</f>
        <v>0</v>
      </c>
      <c r="L2" s="43">
        <f>KA!R2</f>
        <v>0</v>
      </c>
      <c r="N2" s="37" t="s">
        <v>250</v>
      </c>
      <c r="O2" s="44">
        <v>299887.15000000002</v>
      </c>
      <c r="Q2" s="12"/>
    </row>
    <row r="3" spans="1:17" x14ac:dyDescent="0.25">
      <c r="A3" s="35" t="str">
        <f>KA!G3</f>
        <v>Direct - Active</v>
      </c>
      <c r="B3" s="35" t="str">
        <f>KA!H3</f>
        <v>G.P.P.Poultry Farm</v>
      </c>
      <c r="C3" s="43">
        <f>KA!I3</f>
        <v>4307350</v>
      </c>
      <c r="D3" s="43">
        <f>KA!J3</f>
        <v>912190</v>
      </c>
      <c r="E3" s="43">
        <f>KA!K3</f>
        <v>1141200</v>
      </c>
      <c r="F3" s="43">
        <f>KA!L3</f>
        <v>900410</v>
      </c>
      <c r="G3" s="43">
        <f>KA!M3</f>
        <v>686000</v>
      </c>
      <c r="H3" s="43">
        <f>KA!N3</f>
        <v>667550</v>
      </c>
      <c r="I3" s="43">
        <f>KA!O3</f>
        <v>0</v>
      </c>
      <c r="J3" s="43">
        <f>KA!P3</f>
        <v>0</v>
      </c>
      <c r="K3" s="43">
        <f>KA!Q3</f>
        <v>0</v>
      </c>
      <c r="L3" s="43">
        <f>KA!R3</f>
        <v>0</v>
      </c>
      <c r="N3" s="37" t="s">
        <v>251</v>
      </c>
      <c r="O3" s="44">
        <v>82308.509999999995</v>
      </c>
      <c r="Q3" s="12"/>
    </row>
    <row r="4" spans="1:17" x14ac:dyDescent="0.25">
      <c r="A4" s="35" t="str">
        <f>KA!G4</f>
        <v>Direct - Active</v>
      </c>
      <c r="B4" s="35" t="str">
        <f>KA!H4</f>
        <v>Javare Gowda Dairy Farm</v>
      </c>
      <c r="C4" s="43">
        <f>KA!I4</f>
        <v>8815</v>
      </c>
      <c r="D4" s="43">
        <f>KA!J4</f>
        <v>0</v>
      </c>
      <c r="E4" s="43">
        <f>KA!K4</f>
        <v>0</v>
      </c>
      <c r="F4" s="43">
        <f>KA!L4</f>
        <v>0</v>
      </c>
      <c r="G4" s="43">
        <f>KA!M4</f>
        <v>0</v>
      </c>
      <c r="H4" s="43">
        <f>KA!N4</f>
        <v>3320</v>
      </c>
      <c r="I4" s="43">
        <f>KA!O4</f>
        <v>5495</v>
      </c>
      <c r="J4" s="43">
        <f>KA!P4</f>
        <v>0</v>
      </c>
      <c r="K4" s="43">
        <f>KA!Q4</f>
        <v>0</v>
      </c>
      <c r="L4" s="43">
        <f>KA!R4</f>
        <v>0</v>
      </c>
      <c r="N4" s="37" t="s">
        <v>125</v>
      </c>
      <c r="O4" s="44">
        <v>59400</v>
      </c>
      <c r="Q4" s="12"/>
    </row>
    <row r="5" spans="1:17" x14ac:dyDescent="0.25">
      <c r="A5" s="35" t="str">
        <f>KA!G5</f>
        <v>Direct - Active</v>
      </c>
      <c r="B5" s="35" t="str">
        <f>KA!H5</f>
        <v>Jogi Gowda Poultry Farm</v>
      </c>
      <c r="C5" s="43">
        <f>KA!I5</f>
        <v>86330</v>
      </c>
      <c r="D5" s="43">
        <f>KA!J5</f>
        <v>27230</v>
      </c>
      <c r="E5" s="43">
        <f>KA!K5</f>
        <v>59100</v>
      </c>
      <c r="F5" s="43">
        <f>KA!L5</f>
        <v>0</v>
      </c>
      <c r="G5" s="43">
        <f>KA!M5</f>
        <v>0</v>
      </c>
      <c r="H5" s="43">
        <f>KA!N5</f>
        <v>0</v>
      </c>
      <c r="I5" s="43">
        <f>KA!O5</f>
        <v>0</v>
      </c>
      <c r="J5" s="43">
        <f>KA!P5</f>
        <v>0</v>
      </c>
      <c r="K5" s="43">
        <f>KA!Q5</f>
        <v>0</v>
      </c>
      <c r="L5" s="43">
        <f>KA!R5</f>
        <v>0</v>
      </c>
      <c r="N5" s="37" t="s">
        <v>252</v>
      </c>
      <c r="O5" s="44">
        <v>2991683</v>
      </c>
      <c r="Q5" s="12"/>
    </row>
    <row r="6" spans="1:17" x14ac:dyDescent="0.25">
      <c r="A6" s="35" t="str">
        <f>KA!G6</f>
        <v>Direct - Active</v>
      </c>
      <c r="B6" s="35" t="str">
        <f>KA!H6</f>
        <v>K G Satya Poultry Farm</v>
      </c>
      <c r="C6" s="43">
        <f>KA!I6</f>
        <v>367278</v>
      </c>
      <c r="D6" s="43">
        <f>KA!J6</f>
        <v>183088</v>
      </c>
      <c r="E6" s="43">
        <f>KA!K6</f>
        <v>95800</v>
      </c>
      <c r="F6" s="43">
        <f>KA!L6</f>
        <v>0</v>
      </c>
      <c r="G6" s="43">
        <f>KA!M6</f>
        <v>88390</v>
      </c>
      <c r="H6" s="43">
        <f>KA!N6</f>
        <v>0</v>
      </c>
      <c r="I6" s="43">
        <f>KA!O6</f>
        <v>0</v>
      </c>
      <c r="J6" s="43">
        <f>KA!P6</f>
        <v>0</v>
      </c>
      <c r="K6" s="43">
        <f>KA!Q6</f>
        <v>0</v>
      </c>
      <c r="L6" s="43">
        <f>KA!R6</f>
        <v>0</v>
      </c>
      <c r="N6" s="37" t="s">
        <v>253</v>
      </c>
      <c r="O6" s="44">
        <v>170371</v>
      </c>
      <c r="Q6" s="12"/>
    </row>
    <row r="7" spans="1:17" x14ac:dyDescent="0.25">
      <c r="A7" s="35" t="str">
        <f>KA!G7</f>
        <v>Direct - Active</v>
      </c>
      <c r="B7" s="35" t="str">
        <f>KA!H7</f>
        <v>Krishna Poultry Farm</v>
      </c>
      <c r="C7" s="43">
        <f>KA!I7</f>
        <v>2754944.52</v>
      </c>
      <c r="D7" s="43">
        <f>KA!J7</f>
        <v>0</v>
      </c>
      <c r="E7" s="43">
        <f>KA!K7</f>
        <v>225100</v>
      </c>
      <c r="F7" s="43">
        <f>KA!L7</f>
        <v>0</v>
      </c>
      <c r="G7" s="43">
        <f>KA!M7</f>
        <v>186650</v>
      </c>
      <c r="H7" s="43">
        <f>KA!N7</f>
        <v>174300</v>
      </c>
      <c r="I7" s="43">
        <f>KA!O7</f>
        <v>1702445</v>
      </c>
      <c r="J7" s="43">
        <f>KA!P7</f>
        <v>466449.52</v>
      </c>
      <c r="K7" s="43">
        <f>KA!Q7</f>
        <v>0</v>
      </c>
      <c r="L7" s="43">
        <f>KA!R7</f>
        <v>0</v>
      </c>
      <c r="N7" s="37" t="s">
        <v>42</v>
      </c>
      <c r="O7" s="44">
        <v>30300</v>
      </c>
      <c r="Q7" s="12"/>
    </row>
    <row r="8" spans="1:17" x14ac:dyDescent="0.25">
      <c r="A8" s="35" t="str">
        <f>KA!G8</f>
        <v>Direct - Active</v>
      </c>
      <c r="B8" s="35" t="str">
        <f>KA!H8</f>
        <v>Kumar Poultry Farm</v>
      </c>
      <c r="C8" s="43">
        <f>KA!I8</f>
        <v>1025</v>
      </c>
      <c r="D8" s="43">
        <f>KA!J8</f>
        <v>0</v>
      </c>
      <c r="E8" s="43">
        <f>KA!K8</f>
        <v>0</v>
      </c>
      <c r="F8" s="43">
        <f>KA!L8</f>
        <v>0</v>
      </c>
      <c r="G8" s="43">
        <f>KA!M8</f>
        <v>0</v>
      </c>
      <c r="H8" s="43">
        <f>KA!N8</f>
        <v>0</v>
      </c>
      <c r="I8" s="43">
        <f>KA!O8</f>
        <v>1025</v>
      </c>
      <c r="J8" s="43">
        <f>KA!P8</f>
        <v>0</v>
      </c>
      <c r="K8" s="43">
        <f>KA!Q8</f>
        <v>0</v>
      </c>
      <c r="L8" s="43">
        <f>KA!R8</f>
        <v>0</v>
      </c>
      <c r="N8" s="37" t="s">
        <v>132</v>
      </c>
      <c r="O8" s="44">
        <v>121200</v>
      </c>
      <c r="Q8" s="12"/>
    </row>
    <row r="9" spans="1:17" x14ac:dyDescent="0.25">
      <c r="A9" s="35" t="str">
        <f>KA!G9</f>
        <v>Direct - Active</v>
      </c>
      <c r="B9" s="35" t="str">
        <f>KA!H9</f>
        <v>Muralidhar Poultry Farm</v>
      </c>
      <c r="C9" s="43">
        <f>KA!I9</f>
        <v>55445</v>
      </c>
      <c r="D9" s="43">
        <f>KA!J9</f>
        <v>55445</v>
      </c>
      <c r="E9" s="43">
        <f>KA!K9</f>
        <v>0</v>
      </c>
      <c r="F9" s="43">
        <f>KA!L9</f>
        <v>0</v>
      </c>
      <c r="G9" s="43">
        <f>KA!M9</f>
        <v>0</v>
      </c>
      <c r="H9" s="43">
        <f>KA!N9</f>
        <v>0</v>
      </c>
      <c r="I9" s="43">
        <f>KA!O9</f>
        <v>0</v>
      </c>
      <c r="J9" s="43">
        <f>KA!P9</f>
        <v>0</v>
      </c>
      <c r="K9" s="43">
        <f>KA!Q9</f>
        <v>0</v>
      </c>
      <c r="L9" s="43">
        <f>KA!R9</f>
        <v>0</v>
      </c>
      <c r="N9" s="37" t="s">
        <v>161</v>
      </c>
      <c r="O9" s="44">
        <v>1635149.84</v>
      </c>
      <c r="Q9" s="12"/>
    </row>
    <row r="10" spans="1:17" x14ac:dyDescent="0.25">
      <c r="A10" s="35" t="str">
        <f>KA!G10</f>
        <v>Direct - Active</v>
      </c>
      <c r="B10" s="35" t="str">
        <f>KA!H10</f>
        <v>Nandish Poultry Farm Mandya</v>
      </c>
      <c r="C10" s="43">
        <f>KA!I10</f>
        <v>3950</v>
      </c>
      <c r="D10" s="43">
        <f>KA!J10</f>
        <v>0</v>
      </c>
      <c r="E10" s="43">
        <f>KA!K10</f>
        <v>0</v>
      </c>
      <c r="F10" s="43">
        <f>KA!L10</f>
        <v>0</v>
      </c>
      <c r="G10" s="43">
        <f>KA!M10</f>
        <v>3950</v>
      </c>
      <c r="H10" s="43">
        <f>KA!N10</f>
        <v>0</v>
      </c>
      <c r="I10" s="43">
        <f>KA!O10</f>
        <v>0</v>
      </c>
      <c r="J10" s="43">
        <f>KA!P10</f>
        <v>0</v>
      </c>
      <c r="K10" s="43">
        <f>KA!Q10</f>
        <v>0</v>
      </c>
      <c r="L10" s="43">
        <f>KA!R10</f>
        <v>0</v>
      </c>
      <c r="N10" s="37" t="s">
        <v>43</v>
      </c>
      <c r="O10" s="44">
        <v>6570</v>
      </c>
      <c r="Q10" s="12"/>
    </row>
    <row r="11" spans="1:17" x14ac:dyDescent="0.25">
      <c r="A11" s="35" t="str">
        <f>KA!G11</f>
        <v>Direct - Active</v>
      </c>
      <c r="B11" s="35" t="str">
        <f>KA!H11</f>
        <v>Poonacha PB</v>
      </c>
      <c r="C11" s="43">
        <f>KA!I11</f>
        <v>31300</v>
      </c>
      <c r="D11" s="43">
        <f>KA!J11</f>
        <v>0</v>
      </c>
      <c r="E11" s="43">
        <f>KA!K11</f>
        <v>0</v>
      </c>
      <c r="F11" s="43">
        <f>KA!L11</f>
        <v>31300</v>
      </c>
      <c r="G11" s="43">
        <f>KA!M11</f>
        <v>0</v>
      </c>
      <c r="H11" s="43">
        <f>KA!N11</f>
        <v>0</v>
      </c>
      <c r="I11" s="43">
        <f>KA!O11</f>
        <v>0</v>
      </c>
      <c r="J11" s="43">
        <f>KA!P11</f>
        <v>0</v>
      </c>
      <c r="K11" s="43">
        <f>KA!Q11</f>
        <v>0</v>
      </c>
      <c r="L11" s="43">
        <f>KA!R11</f>
        <v>0</v>
      </c>
      <c r="N11" s="37" t="s">
        <v>254</v>
      </c>
      <c r="O11" s="44">
        <v>149739</v>
      </c>
      <c r="Q11" s="12"/>
    </row>
    <row r="12" spans="1:17" x14ac:dyDescent="0.25">
      <c r="A12" s="35" t="str">
        <f>KA!G12</f>
        <v>Direct - Active</v>
      </c>
      <c r="B12" s="35" t="str">
        <f>KA!H12</f>
        <v>Prasanan Kumar Poultry Farm</v>
      </c>
      <c r="C12" s="43">
        <f>KA!I12</f>
        <v>1280</v>
      </c>
      <c r="D12" s="43">
        <f>KA!J12</f>
        <v>0</v>
      </c>
      <c r="E12" s="43">
        <f>KA!K12</f>
        <v>0</v>
      </c>
      <c r="F12" s="43">
        <f>KA!L12</f>
        <v>0</v>
      </c>
      <c r="G12" s="43">
        <f>KA!M12</f>
        <v>0</v>
      </c>
      <c r="H12" s="43">
        <f>KA!N12</f>
        <v>0</v>
      </c>
      <c r="I12" s="43">
        <f>KA!O12</f>
        <v>1280</v>
      </c>
      <c r="J12" s="43">
        <f>KA!P12</f>
        <v>0</v>
      </c>
      <c r="K12" s="43">
        <f>KA!Q12</f>
        <v>0</v>
      </c>
      <c r="L12" s="43">
        <f>KA!R12</f>
        <v>0</v>
      </c>
      <c r="N12" s="37" t="s">
        <v>162</v>
      </c>
      <c r="O12" s="44">
        <v>236276.25</v>
      </c>
      <c r="Q12" s="12"/>
    </row>
    <row r="13" spans="1:17" x14ac:dyDescent="0.25">
      <c r="A13" s="35" t="str">
        <f>KA!G13</f>
        <v>Direct - Active</v>
      </c>
      <c r="B13" s="35" t="str">
        <f>KA!H13</f>
        <v>Prasanna Pig Farm</v>
      </c>
      <c r="C13" s="43">
        <f>KA!I13</f>
        <v>180</v>
      </c>
      <c r="D13" s="43">
        <f>KA!J13</f>
        <v>0</v>
      </c>
      <c r="E13" s="43">
        <f>KA!K13</f>
        <v>180</v>
      </c>
      <c r="F13" s="43">
        <f>KA!L13</f>
        <v>0</v>
      </c>
      <c r="G13" s="43">
        <f>KA!M13</f>
        <v>0</v>
      </c>
      <c r="H13" s="43">
        <f>KA!N13</f>
        <v>0</v>
      </c>
      <c r="I13" s="43">
        <f>KA!O13</f>
        <v>0</v>
      </c>
      <c r="J13" s="43">
        <f>KA!P13</f>
        <v>0</v>
      </c>
      <c r="K13" s="43">
        <f>KA!Q13</f>
        <v>0</v>
      </c>
      <c r="L13" s="43">
        <f>KA!R13</f>
        <v>0</v>
      </c>
      <c r="N13" s="37" t="s">
        <v>44</v>
      </c>
      <c r="O13" s="44">
        <v>104690</v>
      </c>
      <c r="Q13" s="12"/>
    </row>
    <row r="14" spans="1:17" x14ac:dyDescent="0.25">
      <c r="A14" s="35" t="str">
        <f>KA!G14</f>
        <v>Direct - Active</v>
      </c>
      <c r="B14" s="35" t="str">
        <f>KA!H14</f>
        <v>Prathapa Poultry Farm</v>
      </c>
      <c r="C14" s="43">
        <f>KA!I14</f>
        <v>47355</v>
      </c>
      <c r="D14" s="43">
        <f>KA!J14</f>
        <v>0</v>
      </c>
      <c r="E14" s="43">
        <f>KA!K14</f>
        <v>0</v>
      </c>
      <c r="F14" s="43">
        <f>KA!L14</f>
        <v>0</v>
      </c>
      <c r="G14" s="43">
        <f>KA!M14</f>
        <v>0</v>
      </c>
      <c r="H14" s="43">
        <f>KA!N14</f>
        <v>0</v>
      </c>
      <c r="I14" s="43">
        <f>KA!O14</f>
        <v>47355</v>
      </c>
      <c r="J14" s="43">
        <f>KA!P14</f>
        <v>0</v>
      </c>
      <c r="K14" s="43">
        <f>KA!Q14</f>
        <v>0</v>
      </c>
      <c r="L14" s="43">
        <f>KA!R14</f>
        <v>0</v>
      </c>
      <c r="N14" s="37" t="s">
        <v>45</v>
      </c>
      <c r="O14" s="44">
        <v>54000</v>
      </c>
      <c r="Q14" s="12"/>
    </row>
    <row r="15" spans="1:17" x14ac:dyDescent="0.25">
      <c r="A15" s="35" t="str">
        <f>KA!G15</f>
        <v>Direct - Active</v>
      </c>
      <c r="B15" s="35" t="str">
        <f>KA!H15</f>
        <v>Rajatha Poultry Farm</v>
      </c>
      <c r="C15" s="43">
        <f>KA!I15</f>
        <v>8185</v>
      </c>
      <c r="D15" s="43">
        <f>KA!J15</f>
        <v>0</v>
      </c>
      <c r="E15" s="43">
        <f>KA!K15</f>
        <v>0</v>
      </c>
      <c r="F15" s="43">
        <f>KA!L15</f>
        <v>0</v>
      </c>
      <c r="G15" s="43">
        <f>KA!M15</f>
        <v>8185</v>
      </c>
      <c r="H15" s="43">
        <f>KA!N15</f>
        <v>0</v>
      </c>
      <c r="I15" s="43">
        <f>KA!O15</f>
        <v>0</v>
      </c>
      <c r="J15" s="43">
        <f>KA!P15</f>
        <v>0</v>
      </c>
      <c r="K15" s="43">
        <f>KA!Q15</f>
        <v>0</v>
      </c>
      <c r="L15" s="43">
        <f>KA!R15</f>
        <v>0</v>
      </c>
      <c r="N15" s="37" t="s">
        <v>255</v>
      </c>
      <c r="O15" s="44">
        <v>305642.81</v>
      </c>
      <c r="Q15" s="12"/>
    </row>
    <row r="16" spans="1:17" x14ac:dyDescent="0.25">
      <c r="A16" s="35" t="str">
        <f>KA!G16</f>
        <v>Direct - Active</v>
      </c>
      <c r="B16" s="35" t="str">
        <f>KA!H16</f>
        <v>Ramesh Poultry Farms</v>
      </c>
      <c r="C16" s="43">
        <f>KA!I16</f>
        <v>56995</v>
      </c>
      <c r="D16" s="43">
        <f>KA!J16</f>
        <v>0</v>
      </c>
      <c r="E16" s="43">
        <f>KA!K16</f>
        <v>0</v>
      </c>
      <c r="F16" s="43">
        <f>KA!L16</f>
        <v>0</v>
      </c>
      <c r="G16" s="43">
        <f>KA!M16</f>
        <v>4270</v>
      </c>
      <c r="H16" s="43">
        <f>KA!N16</f>
        <v>12315</v>
      </c>
      <c r="I16" s="43">
        <f>KA!O16</f>
        <v>40410</v>
      </c>
      <c r="J16" s="43">
        <f>KA!P16</f>
        <v>0</v>
      </c>
      <c r="K16" s="43">
        <f>KA!Q16</f>
        <v>0</v>
      </c>
      <c r="L16" s="43">
        <f>KA!R16</f>
        <v>0</v>
      </c>
      <c r="N16" s="37" t="s">
        <v>133</v>
      </c>
      <c r="O16" s="44">
        <v>32650</v>
      </c>
      <c r="Q16" s="12"/>
    </row>
    <row r="17" spans="1:17" x14ac:dyDescent="0.25">
      <c r="A17" s="35" t="str">
        <f>KA!G17</f>
        <v>Direct - Active</v>
      </c>
      <c r="B17" s="35" t="str">
        <f>KA!H17</f>
        <v>Sanjaya.K Poultry Farm</v>
      </c>
      <c r="C17" s="43">
        <f>KA!I17</f>
        <v>4590</v>
      </c>
      <c r="D17" s="43">
        <f>KA!J17</f>
        <v>0</v>
      </c>
      <c r="E17" s="43">
        <f>KA!K17</f>
        <v>0</v>
      </c>
      <c r="F17" s="43">
        <f>KA!L17</f>
        <v>4590</v>
      </c>
      <c r="G17" s="43">
        <f>KA!M17</f>
        <v>0</v>
      </c>
      <c r="H17" s="43">
        <f>KA!N17</f>
        <v>0</v>
      </c>
      <c r="I17" s="43">
        <f>KA!O17</f>
        <v>0</v>
      </c>
      <c r="J17" s="43">
        <f>KA!P17</f>
        <v>0</v>
      </c>
      <c r="K17" s="43">
        <f>KA!Q17</f>
        <v>0</v>
      </c>
      <c r="L17" s="43">
        <f>KA!R17</f>
        <v>0</v>
      </c>
      <c r="N17" s="37" t="s">
        <v>46</v>
      </c>
      <c r="O17" s="44">
        <v>599850</v>
      </c>
      <c r="Q17" s="12"/>
    </row>
    <row r="18" spans="1:17" x14ac:dyDescent="0.25">
      <c r="A18" s="35" t="str">
        <f>KA!G18</f>
        <v>Direct - Active</v>
      </c>
      <c r="B18" s="35" t="str">
        <f>KA!H18</f>
        <v>Sanjay S, Veterinary College Hebbal</v>
      </c>
      <c r="C18" s="43">
        <f>KA!I18</f>
        <v>62003</v>
      </c>
      <c r="D18" s="43">
        <f>KA!J18</f>
        <v>0</v>
      </c>
      <c r="E18" s="43">
        <f>KA!K18</f>
        <v>0</v>
      </c>
      <c r="F18" s="43">
        <f>KA!L18</f>
        <v>0</v>
      </c>
      <c r="G18" s="43">
        <f>KA!M18</f>
        <v>0</v>
      </c>
      <c r="H18" s="43">
        <f>KA!N18</f>
        <v>62003</v>
      </c>
      <c r="I18" s="43">
        <f>KA!O18</f>
        <v>0</v>
      </c>
      <c r="J18" s="43">
        <f>KA!P18</f>
        <v>0</v>
      </c>
      <c r="K18" s="43">
        <f>KA!Q18</f>
        <v>0</v>
      </c>
      <c r="L18" s="43">
        <f>KA!R18</f>
        <v>0</v>
      </c>
      <c r="N18" s="37" t="s">
        <v>152</v>
      </c>
      <c r="O18" s="44">
        <v>4550</v>
      </c>
      <c r="Q18" s="12"/>
    </row>
    <row r="19" spans="1:17" x14ac:dyDescent="0.25">
      <c r="A19" s="35" t="str">
        <f>KA!G19</f>
        <v>Direct - Active</v>
      </c>
      <c r="B19" s="35" t="str">
        <f>KA!H19</f>
        <v>Sathish Poultry Farm ,Maddur</v>
      </c>
      <c r="C19" s="43">
        <f>KA!I19</f>
        <v>22780</v>
      </c>
      <c r="D19" s="43">
        <f>KA!J19</f>
        <v>0</v>
      </c>
      <c r="E19" s="43">
        <f>KA!K19</f>
        <v>0</v>
      </c>
      <c r="F19" s="43">
        <f>KA!L19</f>
        <v>0</v>
      </c>
      <c r="G19" s="43">
        <f>KA!M19</f>
        <v>0</v>
      </c>
      <c r="H19" s="43">
        <f>KA!N19</f>
        <v>0</v>
      </c>
      <c r="I19" s="43">
        <f>KA!O19</f>
        <v>0</v>
      </c>
      <c r="J19" s="43">
        <f>KA!P19</f>
        <v>0</v>
      </c>
      <c r="K19" s="43">
        <f>KA!Q19</f>
        <v>0</v>
      </c>
      <c r="L19" s="43">
        <f>KA!R19</f>
        <v>22780</v>
      </c>
      <c r="N19" s="37" t="s">
        <v>47</v>
      </c>
      <c r="O19" s="44">
        <v>8911</v>
      </c>
      <c r="Q19" s="12"/>
    </row>
    <row r="20" spans="1:17" x14ac:dyDescent="0.25">
      <c r="A20" s="35" t="str">
        <f>KA!G20</f>
        <v>Direct - Active</v>
      </c>
      <c r="B20" s="35" t="str">
        <f>KA!H20</f>
        <v>Sharath Poultry Farm</v>
      </c>
      <c r="C20" s="43">
        <f>KA!I20</f>
        <v>113005</v>
      </c>
      <c r="D20" s="43">
        <f>KA!J20</f>
        <v>0</v>
      </c>
      <c r="E20" s="43">
        <f>KA!K20</f>
        <v>0</v>
      </c>
      <c r="F20" s="43">
        <f>KA!L20</f>
        <v>0</v>
      </c>
      <c r="G20" s="43">
        <f>KA!M20</f>
        <v>0</v>
      </c>
      <c r="H20" s="43">
        <f>KA!N20</f>
        <v>112200</v>
      </c>
      <c r="I20" s="43">
        <f>KA!O20</f>
        <v>805</v>
      </c>
      <c r="J20" s="43">
        <f>KA!P20</f>
        <v>0</v>
      </c>
      <c r="K20" s="43">
        <f>KA!Q20</f>
        <v>0</v>
      </c>
      <c r="L20" s="43">
        <f>KA!R20</f>
        <v>0</v>
      </c>
      <c r="N20" s="37" t="s">
        <v>202</v>
      </c>
      <c r="O20" s="44">
        <v>4000</v>
      </c>
      <c r="Q20" s="12"/>
    </row>
    <row r="21" spans="1:17" x14ac:dyDescent="0.25">
      <c r="A21" s="35" t="str">
        <f>KA!G21</f>
        <v>Direct - Active</v>
      </c>
      <c r="B21" s="35" t="str">
        <f>KA!H21</f>
        <v>Siddaramu Dairy Farm Kodyala</v>
      </c>
      <c r="C21" s="43">
        <f>KA!I21</f>
        <v>795</v>
      </c>
      <c r="D21" s="43">
        <f>KA!J21</f>
        <v>0</v>
      </c>
      <c r="E21" s="43">
        <f>KA!K21</f>
        <v>0</v>
      </c>
      <c r="F21" s="43">
        <f>KA!L21</f>
        <v>0</v>
      </c>
      <c r="G21" s="43">
        <f>KA!M21</f>
        <v>0</v>
      </c>
      <c r="H21" s="43">
        <f>KA!N21</f>
        <v>795</v>
      </c>
      <c r="I21" s="43">
        <f>KA!O21</f>
        <v>0</v>
      </c>
      <c r="J21" s="43">
        <f>KA!P21</f>
        <v>0</v>
      </c>
      <c r="K21" s="43">
        <f>KA!Q21</f>
        <v>0</v>
      </c>
      <c r="L21" s="43">
        <f>KA!R21</f>
        <v>0</v>
      </c>
      <c r="N21" s="37" t="s">
        <v>48</v>
      </c>
      <c r="O21" s="44">
        <v>933158</v>
      </c>
      <c r="Q21" s="12"/>
    </row>
    <row r="22" spans="1:17" x14ac:dyDescent="0.25">
      <c r="A22" s="35" t="str">
        <f>KA!G22</f>
        <v>Direct - Active</v>
      </c>
      <c r="B22" s="35" t="str">
        <f>KA!H22</f>
        <v>Sree Lakshmi Ranganatha Poultry Farm &amp; Services</v>
      </c>
      <c r="C22" s="43">
        <f>KA!I22</f>
        <v>589294</v>
      </c>
      <c r="D22" s="43">
        <f>KA!J22</f>
        <v>0</v>
      </c>
      <c r="E22" s="43">
        <f>KA!K22</f>
        <v>0</v>
      </c>
      <c r="F22" s="43">
        <f>KA!L22</f>
        <v>415500</v>
      </c>
      <c r="G22" s="43">
        <f>KA!M22</f>
        <v>0</v>
      </c>
      <c r="H22" s="43">
        <f>KA!N22</f>
        <v>173794</v>
      </c>
      <c r="I22" s="43">
        <f>KA!O22</f>
        <v>0</v>
      </c>
      <c r="J22" s="43">
        <f>KA!P22</f>
        <v>0</v>
      </c>
      <c r="K22" s="43">
        <f>KA!Q22</f>
        <v>0</v>
      </c>
      <c r="L22" s="43">
        <f>KA!R22</f>
        <v>0</v>
      </c>
      <c r="N22" s="37" t="s">
        <v>214</v>
      </c>
      <c r="O22" s="44">
        <v>5906217.3599999994</v>
      </c>
      <c r="Q22" s="12"/>
    </row>
    <row r="23" spans="1:17" x14ac:dyDescent="0.25">
      <c r="A23" s="35" t="str">
        <f>KA!G23</f>
        <v>Direct - Active</v>
      </c>
      <c r="B23" s="35" t="str">
        <f>KA!H23</f>
        <v>Sridhar Poultry Farm - Nagamangala</v>
      </c>
      <c r="C23" s="43">
        <f>KA!I23</f>
        <v>10700</v>
      </c>
      <c r="D23" s="43">
        <f>KA!J23</f>
        <v>0</v>
      </c>
      <c r="E23" s="43">
        <f>KA!K23</f>
        <v>10700</v>
      </c>
      <c r="F23" s="43">
        <f>KA!L23</f>
        <v>0</v>
      </c>
      <c r="G23" s="43">
        <f>KA!M23</f>
        <v>0</v>
      </c>
      <c r="H23" s="43">
        <f>KA!N23</f>
        <v>0</v>
      </c>
      <c r="I23" s="43">
        <f>KA!O23</f>
        <v>0</v>
      </c>
      <c r="J23" s="43">
        <f>KA!P23</f>
        <v>0</v>
      </c>
      <c r="K23" s="43">
        <f>KA!Q23</f>
        <v>0</v>
      </c>
      <c r="L23" s="43">
        <f>KA!R23</f>
        <v>0</v>
      </c>
      <c r="N23" s="37" t="s">
        <v>49</v>
      </c>
      <c r="O23" s="44">
        <v>306533</v>
      </c>
      <c r="Q23" s="12"/>
    </row>
    <row r="24" spans="1:17" x14ac:dyDescent="0.25">
      <c r="A24" s="35" t="str">
        <f>KA!G24</f>
        <v>Direct - Active</v>
      </c>
      <c r="B24" s="35" t="str">
        <f>KA!H24</f>
        <v>Tilk Poultry Farm</v>
      </c>
      <c r="C24" s="43">
        <f>KA!I24</f>
        <v>2060</v>
      </c>
      <c r="D24" s="43">
        <f>KA!J24</f>
        <v>0</v>
      </c>
      <c r="E24" s="43">
        <f>KA!K24</f>
        <v>0</v>
      </c>
      <c r="F24" s="43">
        <f>KA!L24</f>
        <v>0</v>
      </c>
      <c r="G24" s="43">
        <f>KA!M24</f>
        <v>20</v>
      </c>
      <c r="H24" s="43">
        <f>KA!N24</f>
        <v>0</v>
      </c>
      <c r="I24" s="43">
        <f>KA!O24</f>
        <v>2040</v>
      </c>
      <c r="J24" s="43">
        <f>KA!P24</f>
        <v>0</v>
      </c>
      <c r="K24" s="43">
        <f>KA!Q24</f>
        <v>0</v>
      </c>
      <c r="L24" s="43">
        <f>KA!R24</f>
        <v>0</v>
      </c>
      <c r="N24" s="37" t="s">
        <v>115</v>
      </c>
      <c r="O24" s="44">
        <v>1658447</v>
      </c>
      <c r="Q24" s="12"/>
    </row>
    <row r="25" spans="1:17" x14ac:dyDescent="0.25">
      <c r="A25" s="35" t="str">
        <f>KA!G25</f>
        <v>Direct - Active</v>
      </c>
      <c r="B25" s="35" t="str">
        <f>KA!H25</f>
        <v>Udaya Poultry Farm</v>
      </c>
      <c r="C25" s="43">
        <f>KA!I25</f>
        <v>7705</v>
      </c>
      <c r="D25" s="43">
        <f>KA!J25</f>
        <v>0</v>
      </c>
      <c r="E25" s="43">
        <f>KA!K25</f>
        <v>0</v>
      </c>
      <c r="F25" s="43">
        <f>KA!L25</f>
        <v>7705</v>
      </c>
      <c r="G25" s="43">
        <f>KA!M25</f>
        <v>0</v>
      </c>
      <c r="H25" s="43">
        <f>KA!N25</f>
        <v>0</v>
      </c>
      <c r="I25" s="43">
        <f>KA!O25</f>
        <v>0</v>
      </c>
      <c r="J25" s="43">
        <f>KA!P25</f>
        <v>0</v>
      </c>
      <c r="K25" s="43">
        <f>KA!Q25</f>
        <v>0</v>
      </c>
      <c r="L25" s="43">
        <f>KA!R25</f>
        <v>0</v>
      </c>
      <c r="N25" s="37" t="s">
        <v>50</v>
      </c>
      <c r="O25" s="44">
        <v>183720</v>
      </c>
      <c r="Q25" s="12"/>
    </row>
    <row r="26" spans="1:17" x14ac:dyDescent="0.25">
      <c r="A26" s="35" t="str">
        <f>KA!G26</f>
        <v>Direct - Active</v>
      </c>
      <c r="B26" s="35" t="str">
        <f>KA!H26</f>
        <v>Varadaraj Poultry Farm</v>
      </c>
      <c r="C26" s="43">
        <f>KA!I26</f>
        <v>2025</v>
      </c>
      <c r="D26" s="43">
        <f>KA!J26</f>
        <v>0</v>
      </c>
      <c r="E26" s="43">
        <f>KA!K26</f>
        <v>0</v>
      </c>
      <c r="F26" s="43">
        <f>KA!L26</f>
        <v>2025</v>
      </c>
      <c r="G26" s="43">
        <f>KA!M26</f>
        <v>0</v>
      </c>
      <c r="H26" s="43">
        <f>KA!N26</f>
        <v>0</v>
      </c>
      <c r="I26" s="43">
        <f>KA!O26</f>
        <v>0</v>
      </c>
      <c r="J26" s="43">
        <f>KA!P26</f>
        <v>0</v>
      </c>
      <c r="K26" s="43">
        <f>KA!Q26</f>
        <v>0</v>
      </c>
      <c r="L26" s="43">
        <f>KA!R26</f>
        <v>0</v>
      </c>
      <c r="N26" s="37" t="s">
        <v>12</v>
      </c>
      <c r="O26" s="44">
        <v>13625</v>
      </c>
      <c r="Q26" s="12"/>
    </row>
    <row r="27" spans="1:17" x14ac:dyDescent="0.25">
      <c r="A27" s="35" t="str">
        <f>KA!G27</f>
        <v>Direct - Active</v>
      </c>
      <c r="B27" s="35" t="str">
        <f>KA!H27</f>
        <v>Veteran Laboratories</v>
      </c>
      <c r="C27" s="43">
        <f>KA!I27</f>
        <v>13775</v>
      </c>
      <c r="D27" s="43">
        <f>KA!J27</f>
        <v>0</v>
      </c>
      <c r="E27" s="43">
        <f>KA!K27</f>
        <v>0</v>
      </c>
      <c r="F27" s="43">
        <f>KA!L27</f>
        <v>0</v>
      </c>
      <c r="G27" s="43">
        <f>KA!M27</f>
        <v>0</v>
      </c>
      <c r="H27" s="43">
        <f>KA!N27</f>
        <v>0</v>
      </c>
      <c r="I27" s="43">
        <f>KA!O27</f>
        <v>0</v>
      </c>
      <c r="J27" s="43">
        <f>KA!P27</f>
        <v>0</v>
      </c>
      <c r="K27" s="43">
        <f>KA!Q27</f>
        <v>2600</v>
      </c>
      <c r="L27" s="43">
        <f>KA!R27</f>
        <v>11175</v>
      </c>
      <c r="N27" s="37" t="s">
        <v>126</v>
      </c>
      <c r="O27" s="44">
        <v>4970599</v>
      </c>
      <c r="Q27" s="12"/>
    </row>
    <row r="28" spans="1:17" x14ac:dyDescent="0.25">
      <c r="A28" s="35" t="str">
        <f>KA!G28</f>
        <v>Direct - Active</v>
      </c>
      <c r="B28" s="35" t="str">
        <f>KA!H28</f>
        <v>Veterinary Collage Hebbal</v>
      </c>
      <c r="C28" s="43">
        <f>KA!I28</f>
        <v>5928</v>
      </c>
      <c r="D28" s="43">
        <f>KA!J28</f>
        <v>0</v>
      </c>
      <c r="E28" s="43">
        <f>KA!K28</f>
        <v>0</v>
      </c>
      <c r="F28" s="43">
        <f>KA!L28</f>
        <v>0</v>
      </c>
      <c r="G28" s="43">
        <f>KA!M28</f>
        <v>0</v>
      </c>
      <c r="H28" s="43">
        <f>KA!N28</f>
        <v>0</v>
      </c>
      <c r="I28" s="43">
        <f>KA!O28</f>
        <v>5928</v>
      </c>
      <c r="J28" s="43">
        <f>KA!P28</f>
        <v>0</v>
      </c>
      <c r="K28" s="43">
        <f>KA!Q28</f>
        <v>0</v>
      </c>
      <c r="L28" s="43">
        <f>KA!R28</f>
        <v>0</v>
      </c>
      <c r="N28" s="37" t="s">
        <v>51</v>
      </c>
      <c r="O28" s="44">
        <v>52000</v>
      </c>
      <c r="Q28" s="12"/>
    </row>
    <row r="29" spans="1:17" x14ac:dyDescent="0.25">
      <c r="A29" s="35" t="str">
        <f>KA!G29</f>
        <v>Direct - Active</v>
      </c>
      <c r="B29" s="35" t="str">
        <f>KA!H29</f>
        <v>Vishwanatha Poultry Farm</v>
      </c>
      <c r="C29" s="43">
        <f>KA!I29</f>
        <v>2345</v>
      </c>
      <c r="D29" s="43">
        <f>KA!J29</f>
        <v>2345</v>
      </c>
      <c r="E29" s="43">
        <f>KA!K29</f>
        <v>0</v>
      </c>
      <c r="F29" s="43">
        <f>KA!L29</f>
        <v>0</v>
      </c>
      <c r="G29" s="43">
        <f>KA!M29</f>
        <v>0</v>
      </c>
      <c r="H29" s="43">
        <f>KA!N29</f>
        <v>0</v>
      </c>
      <c r="I29" s="43">
        <f>KA!O29</f>
        <v>0</v>
      </c>
      <c r="J29" s="43">
        <f>KA!P29</f>
        <v>0</v>
      </c>
      <c r="K29" s="43">
        <f>KA!Q29</f>
        <v>0</v>
      </c>
      <c r="L29" s="43">
        <f>KA!R29</f>
        <v>0</v>
      </c>
      <c r="N29" s="37" t="s">
        <v>52</v>
      </c>
      <c r="O29" s="44">
        <v>511820</v>
      </c>
      <c r="Q29" s="12"/>
    </row>
    <row r="30" spans="1:17" x14ac:dyDescent="0.25">
      <c r="A30" s="35" t="str">
        <f>KA!G30</f>
        <v>Direct - Active</v>
      </c>
      <c r="B30" s="35" t="str">
        <f>KA!H30</f>
        <v>V N Poultry Farm</v>
      </c>
      <c r="C30" s="43">
        <f>KA!I30</f>
        <v>605</v>
      </c>
      <c r="D30" s="43">
        <f>KA!J30</f>
        <v>0</v>
      </c>
      <c r="E30" s="43">
        <f>KA!K30</f>
        <v>0</v>
      </c>
      <c r="F30" s="43">
        <f>KA!L30</f>
        <v>0</v>
      </c>
      <c r="G30" s="43">
        <f>KA!M30</f>
        <v>0</v>
      </c>
      <c r="H30" s="43">
        <f>KA!N30</f>
        <v>605</v>
      </c>
      <c r="I30" s="43">
        <f>KA!O30</f>
        <v>0</v>
      </c>
      <c r="J30" s="43">
        <f>KA!P30</f>
        <v>0</v>
      </c>
      <c r="K30" s="43">
        <f>KA!Q30</f>
        <v>0</v>
      </c>
      <c r="L30" s="43">
        <f>KA!R30</f>
        <v>0</v>
      </c>
      <c r="N30" s="37" t="s">
        <v>53</v>
      </c>
      <c r="O30" s="44">
        <v>461812</v>
      </c>
      <c r="Q30" s="12"/>
    </row>
    <row r="31" spans="1:17" x14ac:dyDescent="0.25">
      <c r="A31" s="35" t="str">
        <f>KA!G31</f>
        <v>Direct - Inactive</v>
      </c>
      <c r="B31" s="35" t="str">
        <f>KA!H31</f>
        <v>Abhishek Poultry Farm K Shetthali</v>
      </c>
      <c r="C31" s="43">
        <f>KA!I31</f>
        <v>30300</v>
      </c>
      <c r="D31" s="43">
        <f>KA!J31</f>
        <v>0</v>
      </c>
      <c r="E31" s="43">
        <f>KA!K31</f>
        <v>0</v>
      </c>
      <c r="F31" s="43">
        <f>KA!L31</f>
        <v>0</v>
      </c>
      <c r="G31" s="43">
        <f>KA!M31</f>
        <v>0</v>
      </c>
      <c r="H31" s="43">
        <f>KA!N31</f>
        <v>0</v>
      </c>
      <c r="I31" s="43">
        <f>KA!O31</f>
        <v>0</v>
      </c>
      <c r="J31" s="43">
        <f>KA!P31</f>
        <v>0</v>
      </c>
      <c r="K31" s="43">
        <f>KA!Q31</f>
        <v>30300</v>
      </c>
      <c r="L31" s="43">
        <f>KA!R31</f>
        <v>0</v>
      </c>
      <c r="N31" s="37" t="s">
        <v>256</v>
      </c>
      <c r="O31" s="44">
        <v>347424.28</v>
      </c>
      <c r="Q31" s="12"/>
    </row>
    <row r="32" spans="1:17" x14ac:dyDescent="0.25">
      <c r="A32" s="35" t="str">
        <f>KA!G32</f>
        <v>Direct - Inactive</v>
      </c>
      <c r="B32" s="35" t="str">
        <f>KA!H32</f>
        <v>Akash Pig Farm</v>
      </c>
      <c r="C32" s="43">
        <f>KA!I32</f>
        <v>6570</v>
      </c>
      <c r="D32" s="43">
        <f>KA!J32</f>
        <v>0</v>
      </c>
      <c r="E32" s="43">
        <f>KA!K32</f>
        <v>0</v>
      </c>
      <c r="F32" s="43">
        <f>KA!L32</f>
        <v>0</v>
      </c>
      <c r="G32" s="43">
        <f>KA!M32</f>
        <v>0</v>
      </c>
      <c r="H32" s="43">
        <f>KA!N32</f>
        <v>0</v>
      </c>
      <c r="I32" s="43">
        <f>KA!O32</f>
        <v>0</v>
      </c>
      <c r="J32" s="43">
        <f>KA!P32</f>
        <v>0</v>
      </c>
      <c r="K32" s="43">
        <f>KA!Q32</f>
        <v>6570</v>
      </c>
      <c r="L32" s="43">
        <f>KA!R32</f>
        <v>0</v>
      </c>
      <c r="N32" s="37" t="s">
        <v>257</v>
      </c>
      <c r="O32" s="44">
        <v>319.64999999999998</v>
      </c>
      <c r="Q32" s="12"/>
    </row>
    <row r="33" spans="1:17" x14ac:dyDescent="0.25">
      <c r="A33" s="35" t="str">
        <f>KA!G33</f>
        <v>Direct - Inactive</v>
      </c>
      <c r="B33" s="35" t="str">
        <f>KA!H33</f>
        <v>Amol Pig Farm</v>
      </c>
      <c r="C33" s="43">
        <f>KA!I33</f>
        <v>104690</v>
      </c>
      <c r="D33" s="43">
        <f>KA!J33</f>
        <v>0</v>
      </c>
      <c r="E33" s="43">
        <f>KA!K33</f>
        <v>0</v>
      </c>
      <c r="F33" s="43">
        <f>KA!L33</f>
        <v>0</v>
      </c>
      <c r="G33" s="43">
        <f>KA!M33</f>
        <v>0</v>
      </c>
      <c r="H33" s="43">
        <f>KA!N33</f>
        <v>0</v>
      </c>
      <c r="I33" s="43">
        <f>KA!O33</f>
        <v>0</v>
      </c>
      <c r="J33" s="43">
        <f>KA!P33</f>
        <v>0</v>
      </c>
      <c r="K33" s="43">
        <f>KA!Q33</f>
        <v>76240</v>
      </c>
      <c r="L33" s="43">
        <f>KA!R33</f>
        <v>28450</v>
      </c>
      <c r="N33" s="37" t="s">
        <v>13</v>
      </c>
      <c r="O33" s="44">
        <v>4307350</v>
      </c>
      <c r="Q33" s="12"/>
    </row>
    <row r="34" spans="1:17" x14ac:dyDescent="0.25">
      <c r="A34" s="35" t="str">
        <f>KA!G34</f>
        <v>Direct - Inactive</v>
      </c>
      <c r="B34" s="35" t="str">
        <f>KA!H34</f>
        <v>Ananya Poultry Farm &amp; Supplies</v>
      </c>
      <c r="C34" s="43">
        <f>KA!I34</f>
        <v>54000</v>
      </c>
      <c r="D34" s="43">
        <f>KA!J34</f>
        <v>0</v>
      </c>
      <c r="E34" s="43">
        <f>KA!K34</f>
        <v>0</v>
      </c>
      <c r="F34" s="43">
        <f>KA!L34</f>
        <v>0</v>
      </c>
      <c r="G34" s="43">
        <f>KA!M34</f>
        <v>0</v>
      </c>
      <c r="H34" s="43">
        <f>KA!N34</f>
        <v>0</v>
      </c>
      <c r="I34" s="43">
        <f>KA!O34</f>
        <v>0</v>
      </c>
      <c r="J34" s="43">
        <f>KA!P34</f>
        <v>0</v>
      </c>
      <c r="K34" s="43">
        <f>KA!Q34</f>
        <v>0</v>
      </c>
      <c r="L34" s="43">
        <f>KA!R34</f>
        <v>54000</v>
      </c>
      <c r="N34" s="37" t="s">
        <v>163</v>
      </c>
      <c r="O34" s="44">
        <v>125036</v>
      </c>
      <c r="Q34" s="12">
        <f>VLOOKUP(N34,'SD with Cr bal'!$D$3:$E$99,2,0)</f>
        <v>90000</v>
      </c>
    </row>
    <row r="35" spans="1:17" x14ac:dyDescent="0.25">
      <c r="A35" s="35" t="str">
        <f>KA!G35</f>
        <v>Direct - Inactive</v>
      </c>
      <c r="B35" s="35" t="str">
        <f>KA!H35</f>
        <v xml:space="preserve">Ashok Poultry Farm_x000D_
</v>
      </c>
      <c r="C35" s="43">
        <f>KA!I35</f>
        <v>599850</v>
      </c>
      <c r="D35" s="43">
        <f>KA!J35</f>
        <v>0</v>
      </c>
      <c r="E35" s="43">
        <f>KA!K35</f>
        <v>0</v>
      </c>
      <c r="F35" s="43">
        <f>KA!L35</f>
        <v>0</v>
      </c>
      <c r="G35" s="43">
        <f>KA!M35</f>
        <v>0</v>
      </c>
      <c r="H35" s="43">
        <f>KA!N35</f>
        <v>0</v>
      </c>
      <c r="I35" s="43">
        <f>KA!O35</f>
        <v>0</v>
      </c>
      <c r="J35" s="43">
        <f>KA!P35</f>
        <v>0</v>
      </c>
      <c r="K35" s="43">
        <f>KA!Q35</f>
        <v>0</v>
      </c>
      <c r="L35" s="43">
        <f>KA!R35</f>
        <v>599850</v>
      </c>
      <c r="N35" s="37" t="s">
        <v>258</v>
      </c>
      <c r="O35" s="44">
        <v>261320</v>
      </c>
      <c r="Q35" s="12"/>
    </row>
    <row r="36" spans="1:17" x14ac:dyDescent="0.25">
      <c r="A36" s="35" t="str">
        <f>KA!G36</f>
        <v>Direct - Inactive</v>
      </c>
      <c r="B36" s="35" t="str">
        <f>KA!H36</f>
        <v>Associate Professor Dept.of ILFC Dairy</v>
      </c>
      <c r="C36" s="43">
        <f>KA!I36</f>
        <v>8911</v>
      </c>
      <c r="D36" s="43">
        <f>KA!J36</f>
        <v>0</v>
      </c>
      <c r="E36" s="43">
        <f>KA!K36</f>
        <v>0</v>
      </c>
      <c r="F36" s="43">
        <f>KA!L36</f>
        <v>0</v>
      </c>
      <c r="G36" s="43">
        <f>KA!M36</f>
        <v>0</v>
      </c>
      <c r="H36" s="43">
        <f>KA!N36</f>
        <v>0</v>
      </c>
      <c r="I36" s="43">
        <f>KA!O36</f>
        <v>0</v>
      </c>
      <c r="J36" s="43">
        <f>KA!P36</f>
        <v>0</v>
      </c>
      <c r="K36" s="43">
        <f>KA!Q36</f>
        <v>0</v>
      </c>
      <c r="L36" s="43">
        <f>KA!R36</f>
        <v>8911</v>
      </c>
      <c r="N36" s="37" t="s">
        <v>54</v>
      </c>
      <c r="O36" s="44">
        <v>900848</v>
      </c>
      <c r="Q36" s="12"/>
    </row>
    <row r="37" spans="1:17" x14ac:dyDescent="0.25">
      <c r="A37" s="35" t="str">
        <f>KA!G37</f>
        <v>Direct - Inactive</v>
      </c>
      <c r="B37" s="35" t="str">
        <f>KA!H37</f>
        <v>Bandipura Breeders, Mysore</v>
      </c>
      <c r="C37" s="43">
        <f>KA!I37</f>
        <v>933158</v>
      </c>
      <c r="D37" s="43">
        <f>KA!J37</f>
        <v>0</v>
      </c>
      <c r="E37" s="43">
        <f>KA!K37</f>
        <v>0</v>
      </c>
      <c r="F37" s="43">
        <f>KA!L37</f>
        <v>0</v>
      </c>
      <c r="G37" s="43">
        <f>KA!M37</f>
        <v>0</v>
      </c>
      <c r="H37" s="43">
        <f>KA!N37</f>
        <v>0</v>
      </c>
      <c r="I37" s="43">
        <f>KA!O37</f>
        <v>0</v>
      </c>
      <c r="J37" s="43">
        <f>KA!P37</f>
        <v>0</v>
      </c>
      <c r="K37" s="43">
        <f>KA!Q37</f>
        <v>0</v>
      </c>
      <c r="L37" s="43">
        <f>KA!R37</f>
        <v>933158</v>
      </c>
      <c r="N37" s="37" t="s">
        <v>153</v>
      </c>
      <c r="O37" s="44">
        <v>180414</v>
      </c>
      <c r="Q37" s="12"/>
    </row>
    <row r="38" spans="1:17" x14ac:dyDescent="0.25">
      <c r="A38" s="35" t="str">
        <f>KA!G38</f>
        <v>Direct - Inactive</v>
      </c>
      <c r="B38" s="35" t="str">
        <f>KA!H38</f>
        <v>BJS Poultry Farm</v>
      </c>
      <c r="C38" s="43">
        <f>KA!I38</f>
        <v>306533</v>
      </c>
      <c r="D38" s="43">
        <f>KA!J38</f>
        <v>0</v>
      </c>
      <c r="E38" s="43">
        <f>KA!K38</f>
        <v>0</v>
      </c>
      <c r="F38" s="43">
        <f>KA!L38</f>
        <v>0</v>
      </c>
      <c r="G38" s="43">
        <f>KA!M38</f>
        <v>0</v>
      </c>
      <c r="H38" s="43">
        <f>KA!N38</f>
        <v>0</v>
      </c>
      <c r="I38" s="43">
        <f>KA!O38</f>
        <v>0</v>
      </c>
      <c r="J38" s="43">
        <f>KA!P38</f>
        <v>0</v>
      </c>
      <c r="K38" s="43">
        <f>KA!Q38</f>
        <v>0</v>
      </c>
      <c r="L38" s="43">
        <f>KA!R38</f>
        <v>306533</v>
      </c>
      <c r="N38" s="37" t="s">
        <v>55</v>
      </c>
      <c r="O38" s="44">
        <v>1341583</v>
      </c>
      <c r="Q38" s="12"/>
    </row>
    <row r="39" spans="1:17" x14ac:dyDescent="0.25">
      <c r="A39" s="35" t="str">
        <f>KA!G39</f>
        <v>Direct - Inactive</v>
      </c>
      <c r="B39" s="35" t="str">
        <f>KA!H39</f>
        <v>Chaluvaraya Swamy Poultry Farm,Channapatna</v>
      </c>
      <c r="C39" s="43">
        <f>KA!I39</f>
        <v>183720</v>
      </c>
      <c r="D39" s="43">
        <f>KA!J39</f>
        <v>0</v>
      </c>
      <c r="E39" s="43">
        <f>KA!K39</f>
        <v>0</v>
      </c>
      <c r="F39" s="43">
        <f>KA!L39</f>
        <v>0</v>
      </c>
      <c r="G39" s="43">
        <f>KA!M39</f>
        <v>0</v>
      </c>
      <c r="H39" s="43">
        <f>KA!N39</f>
        <v>0</v>
      </c>
      <c r="I39" s="43">
        <f>KA!O39</f>
        <v>0</v>
      </c>
      <c r="J39" s="43">
        <f>KA!P39</f>
        <v>0</v>
      </c>
      <c r="K39" s="43">
        <f>KA!Q39</f>
        <v>0</v>
      </c>
      <c r="L39" s="43">
        <f>KA!R39</f>
        <v>183720</v>
      </c>
      <c r="N39" s="37" t="s">
        <v>127</v>
      </c>
      <c r="O39" s="44">
        <v>21500</v>
      </c>
      <c r="Q39" s="12"/>
    </row>
    <row r="40" spans="1:17" x14ac:dyDescent="0.25">
      <c r="A40" s="35" t="str">
        <f>KA!G40</f>
        <v>Direct - Inactive</v>
      </c>
      <c r="B40" s="35" t="str">
        <f>KA!H40</f>
        <v>Deeksha Vet Medicals</v>
      </c>
      <c r="C40" s="43">
        <f>KA!I40</f>
        <v>52000</v>
      </c>
      <c r="D40" s="43">
        <f>KA!J40</f>
        <v>0</v>
      </c>
      <c r="E40" s="43">
        <f>KA!K40</f>
        <v>0</v>
      </c>
      <c r="F40" s="43">
        <f>KA!L40</f>
        <v>0</v>
      </c>
      <c r="G40" s="43">
        <f>KA!M40</f>
        <v>0</v>
      </c>
      <c r="H40" s="43">
        <f>KA!N40</f>
        <v>0</v>
      </c>
      <c r="I40" s="43">
        <f>KA!O40</f>
        <v>0</v>
      </c>
      <c r="J40" s="43">
        <f>KA!P40</f>
        <v>52000</v>
      </c>
      <c r="K40" s="43">
        <f>KA!Q40</f>
        <v>0</v>
      </c>
      <c r="L40" s="43">
        <f>KA!R40</f>
        <v>0</v>
      </c>
      <c r="N40" s="37" t="s">
        <v>56</v>
      </c>
      <c r="O40" s="44">
        <v>13280</v>
      </c>
      <c r="Q40" s="12"/>
    </row>
    <row r="41" spans="1:17" x14ac:dyDescent="0.25">
      <c r="A41" s="35" t="str">
        <f>KA!G41</f>
        <v>Direct - Inactive</v>
      </c>
      <c r="B41" s="35" t="str">
        <f>KA!H41</f>
        <v>Devapriya Foods &amp; Feeds,Honnavara</v>
      </c>
      <c r="C41" s="43">
        <f>KA!I41</f>
        <v>511820</v>
      </c>
      <c r="D41" s="43">
        <f>KA!J41</f>
        <v>0</v>
      </c>
      <c r="E41" s="43">
        <f>KA!K41</f>
        <v>0</v>
      </c>
      <c r="F41" s="43">
        <f>KA!L41</f>
        <v>0</v>
      </c>
      <c r="G41" s="43">
        <f>KA!M41</f>
        <v>0</v>
      </c>
      <c r="H41" s="43">
        <f>KA!N41</f>
        <v>0</v>
      </c>
      <c r="I41" s="43">
        <f>KA!O41</f>
        <v>0</v>
      </c>
      <c r="J41" s="43">
        <f>KA!P41</f>
        <v>0</v>
      </c>
      <c r="K41" s="43">
        <f>KA!Q41</f>
        <v>0</v>
      </c>
      <c r="L41" s="43">
        <f>KA!R41</f>
        <v>511820</v>
      </c>
      <c r="N41" s="37" t="s">
        <v>211</v>
      </c>
      <c r="O41" s="44">
        <v>430700</v>
      </c>
      <c r="Q41" s="12"/>
    </row>
    <row r="42" spans="1:17" x14ac:dyDescent="0.25">
      <c r="A42" s="35" t="str">
        <f>KA!G42</f>
        <v>Direct - Inactive</v>
      </c>
      <c r="B42" s="35" t="str">
        <f>KA!H42</f>
        <v>Devaraja Poultry Farm</v>
      </c>
      <c r="C42" s="43">
        <f>KA!I42</f>
        <v>461812</v>
      </c>
      <c r="D42" s="43">
        <f>KA!J42</f>
        <v>0</v>
      </c>
      <c r="E42" s="43">
        <f>KA!K42</f>
        <v>0</v>
      </c>
      <c r="F42" s="43">
        <f>KA!L42</f>
        <v>0</v>
      </c>
      <c r="G42" s="43">
        <f>KA!M42</f>
        <v>0</v>
      </c>
      <c r="H42" s="43">
        <f>KA!N42</f>
        <v>0</v>
      </c>
      <c r="I42" s="43">
        <f>KA!O42</f>
        <v>0</v>
      </c>
      <c r="J42" s="43">
        <f>KA!P42</f>
        <v>0</v>
      </c>
      <c r="K42" s="43">
        <f>KA!Q42</f>
        <v>0</v>
      </c>
      <c r="L42" s="43">
        <f>KA!R42</f>
        <v>461812</v>
      </c>
      <c r="N42" s="37" t="s">
        <v>164</v>
      </c>
      <c r="O42" s="44">
        <v>8400</v>
      </c>
      <c r="Q42" s="12"/>
    </row>
    <row r="43" spans="1:17" x14ac:dyDescent="0.25">
      <c r="A43" s="35" t="str">
        <f>KA!G43</f>
        <v>Direct - Inactive</v>
      </c>
      <c r="B43" s="35" t="str">
        <f>KA!H43</f>
        <v>Gurunatha Poultry Farm</v>
      </c>
      <c r="C43" s="43">
        <f>KA!I43</f>
        <v>900848</v>
      </c>
      <c r="D43" s="43">
        <f>KA!J43</f>
        <v>0</v>
      </c>
      <c r="E43" s="43">
        <f>KA!K43</f>
        <v>0</v>
      </c>
      <c r="F43" s="43">
        <f>KA!L43</f>
        <v>0</v>
      </c>
      <c r="G43" s="43">
        <f>KA!M43</f>
        <v>0</v>
      </c>
      <c r="H43" s="43">
        <f>KA!N43</f>
        <v>0</v>
      </c>
      <c r="I43" s="43">
        <f>KA!O43</f>
        <v>0</v>
      </c>
      <c r="J43" s="43">
        <f>KA!P43</f>
        <v>0</v>
      </c>
      <c r="K43" s="43">
        <f>KA!Q43</f>
        <v>0</v>
      </c>
      <c r="L43" s="43">
        <f>KA!R43</f>
        <v>900848</v>
      </c>
      <c r="N43" s="37" t="s">
        <v>165</v>
      </c>
      <c r="O43" s="44">
        <v>24074</v>
      </c>
      <c r="Q43" s="12"/>
    </row>
    <row r="44" spans="1:17" x14ac:dyDescent="0.25">
      <c r="A44" s="35" t="str">
        <f>KA!G44</f>
        <v>Direct - Inactive</v>
      </c>
      <c r="B44" s="35" t="str">
        <f>KA!H44</f>
        <v>Happy Chicken Centre</v>
      </c>
      <c r="C44" s="43">
        <f>KA!I44</f>
        <v>1341583</v>
      </c>
      <c r="D44" s="43">
        <f>KA!J44</f>
        <v>0</v>
      </c>
      <c r="E44" s="43">
        <f>KA!K44</f>
        <v>0</v>
      </c>
      <c r="F44" s="43">
        <f>KA!L44</f>
        <v>0</v>
      </c>
      <c r="G44" s="43">
        <f>KA!M44</f>
        <v>0</v>
      </c>
      <c r="H44" s="43">
        <f>KA!N44</f>
        <v>0</v>
      </c>
      <c r="I44" s="43">
        <f>KA!O44</f>
        <v>0</v>
      </c>
      <c r="J44" s="43">
        <f>KA!P44</f>
        <v>0</v>
      </c>
      <c r="K44" s="43">
        <f>KA!Q44</f>
        <v>668000</v>
      </c>
      <c r="L44" s="43">
        <f>KA!R44</f>
        <v>673583</v>
      </c>
      <c r="N44" s="37" t="s">
        <v>259</v>
      </c>
      <c r="O44" s="44">
        <v>877923</v>
      </c>
      <c r="Q44" s="12"/>
    </row>
    <row r="45" spans="1:17" x14ac:dyDescent="0.25">
      <c r="A45" s="35" t="str">
        <f>KA!G45</f>
        <v>Direct - Inactive</v>
      </c>
      <c r="B45" s="35" t="str">
        <f>KA!H45</f>
        <v>Harish Poultry Farm- Mandya</v>
      </c>
      <c r="C45" s="43">
        <f>KA!I45</f>
        <v>13280</v>
      </c>
      <c r="D45" s="43">
        <f>KA!J45</f>
        <v>0</v>
      </c>
      <c r="E45" s="43">
        <f>KA!K45</f>
        <v>0</v>
      </c>
      <c r="F45" s="43">
        <f>KA!L45</f>
        <v>0</v>
      </c>
      <c r="G45" s="43">
        <f>KA!M45</f>
        <v>0</v>
      </c>
      <c r="H45" s="43">
        <f>KA!N45</f>
        <v>0</v>
      </c>
      <c r="I45" s="43">
        <f>KA!O45</f>
        <v>0</v>
      </c>
      <c r="J45" s="43">
        <f>KA!P45</f>
        <v>0</v>
      </c>
      <c r="K45" s="43">
        <f>KA!Q45</f>
        <v>13280</v>
      </c>
      <c r="L45" s="43">
        <f>KA!R45</f>
        <v>0</v>
      </c>
      <c r="N45" s="37" t="s">
        <v>57</v>
      </c>
      <c r="O45" s="44">
        <v>2118932</v>
      </c>
      <c r="Q45" s="12"/>
    </row>
    <row r="46" spans="1:17" x14ac:dyDescent="0.25">
      <c r="A46" s="35" t="str">
        <f>KA!G46</f>
        <v>Direct - Inactive</v>
      </c>
      <c r="B46" s="35" t="str">
        <f>KA!H46</f>
        <v>Hunter Chicken &amp; Eggs India (OPC) Pvt Ltd</v>
      </c>
      <c r="C46" s="43">
        <f>KA!I46</f>
        <v>753532</v>
      </c>
      <c r="D46" s="43">
        <f>KA!J46</f>
        <v>0</v>
      </c>
      <c r="E46" s="43">
        <f>KA!K46</f>
        <v>0</v>
      </c>
      <c r="F46" s="43">
        <f>KA!L46</f>
        <v>0</v>
      </c>
      <c r="G46" s="43">
        <f>KA!M46</f>
        <v>0</v>
      </c>
      <c r="H46" s="43">
        <f>KA!N46</f>
        <v>0</v>
      </c>
      <c r="I46" s="43">
        <f>KA!O46</f>
        <v>0</v>
      </c>
      <c r="J46" s="43">
        <f>KA!P46</f>
        <v>0</v>
      </c>
      <c r="K46" s="43">
        <f>KA!Q46</f>
        <v>0</v>
      </c>
      <c r="L46" s="43">
        <f>KA!R46</f>
        <v>753532</v>
      </c>
      <c r="N46" s="37" t="s">
        <v>215</v>
      </c>
      <c r="O46" s="44">
        <v>10601021</v>
      </c>
      <c r="Q46" s="12"/>
    </row>
    <row r="47" spans="1:17" x14ac:dyDescent="0.25">
      <c r="A47" s="35" t="str">
        <f>KA!G47</f>
        <v>Direct - Inactive</v>
      </c>
      <c r="B47" s="35" t="str">
        <f>KA!H47</f>
        <v>Jayalinga Poultry Farm</v>
      </c>
      <c r="C47" s="43">
        <f>KA!I47</f>
        <v>131750</v>
      </c>
      <c r="D47" s="43">
        <f>KA!J47</f>
        <v>0</v>
      </c>
      <c r="E47" s="43">
        <f>KA!K47</f>
        <v>0</v>
      </c>
      <c r="F47" s="43">
        <f>KA!L47</f>
        <v>0</v>
      </c>
      <c r="G47" s="43">
        <f>KA!M47</f>
        <v>0</v>
      </c>
      <c r="H47" s="43">
        <f>KA!N47</f>
        <v>0</v>
      </c>
      <c r="I47" s="43">
        <f>KA!O47</f>
        <v>106925</v>
      </c>
      <c r="J47" s="43">
        <f>KA!P47</f>
        <v>0</v>
      </c>
      <c r="K47" s="43">
        <f>KA!Q47</f>
        <v>0</v>
      </c>
      <c r="L47" s="43">
        <f>KA!R47</f>
        <v>24825</v>
      </c>
      <c r="N47" s="37" t="s">
        <v>61</v>
      </c>
      <c r="O47" s="44">
        <v>1639250</v>
      </c>
      <c r="Q47" s="12"/>
    </row>
    <row r="48" spans="1:17" x14ac:dyDescent="0.25">
      <c r="A48" s="35" t="str">
        <f>KA!G48</f>
        <v>Direct - Inactive</v>
      </c>
      <c r="B48" s="35" t="str">
        <f>KA!H48</f>
        <v>Jayanthi Associates, Kannur</v>
      </c>
      <c r="C48" s="43">
        <f>KA!I48</f>
        <v>3222982</v>
      </c>
      <c r="D48" s="43">
        <f>KA!J48</f>
        <v>0</v>
      </c>
      <c r="E48" s="43">
        <f>KA!K48</f>
        <v>0</v>
      </c>
      <c r="F48" s="43">
        <f>KA!L48</f>
        <v>0</v>
      </c>
      <c r="G48" s="43">
        <f>KA!M48</f>
        <v>0</v>
      </c>
      <c r="H48" s="43">
        <f>KA!N48</f>
        <v>0</v>
      </c>
      <c r="I48" s="43">
        <f>KA!O48</f>
        <v>0</v>
      </c>
      <c r="J48" s="43">
        <f>KA!P48</f>
        <v>0</v>
      </c>
      <c r="K48" s="43">
        <f>KA!Q48</f>
        <v>0</v>
      </c>
      <c r="L48" s="43">
        <f>KA!R48</f>
        <v>3222982</v>
      </c>
      <c r="N48" s="37" t="s">
        <v>14</v>
      </c>
      <c r="O48" s="44">
        <v>8815</v>
      </c>
      <c r="Q48" s="12"/>
    </row>
    <row r="49" spans="1:18" x14ac:dyDescent="0.25">
      <c r="A49" s="35" t="str">
        <f>KA!G49</f>
        <v>Direct - Inactive</v>
      </c>
      <c r="B49" s="35" t="str">
        <f>KA!H49</f>
        <v xml:space="preserve">Jayaraju Poultry Farm_x000D_
</v>
      </c>
      <c r="C49" s="43">
        <f>KA!I49</f>
        <v>296940</v>
      </c>
      <c r="D49" s="43">
        <f>KA!J49</f>
        <v>0</v>
      </c>
      <c r="E49" s="43">
        <f>KA!K49</f>
        <v>0</v>
      </c>
      <c r="F49" s="43">
        <f>KA!L49</f>
        <v>0</v>
      </c>
      <c r="G49" s="43">
        <f>KA!M49</f>
        <v>0</v>
      </c>
      <c r="H49" s="43">
        <f>KA!N49</f>
        <v>0</v>
      </c>
      <c r="I49" s="43">
        <f>KA!O49</f>
        <v>0</v>
      </c>
      <c r="J49" s="43">
        <f>KA!P49</f>
        <v>0</v>
      </c>
      <c r="K49" s="43">
        <f>KA!Q49</f>
        <v>0</v>
      </c>
      <c r="L49" s="43">
        <f>KA!R49</f>
        <v>296940</v>
      </c>
      <c r="N49" s="37" t="s">
        <v>208</v>
      </c>
      <c r="O49" s="44">
        <v>3824600</v>
      </c>
      <c r="Q49" s="12">
        <f>VLOOKUP(N49,'SD with Cr bal'!$D$3:$E$99,2,0)</f>
        <v>45</v>
      </c>
      <c r="R49">
        <f>GETPIVOTDATA("Pending Bills",$N$1,"Particulars","Jaya Kumar Poultry Farm")-Q49</f>
        <v>3824555</v>
      </c>
    </row>
    <row r="50" spans="1:18" x14ac:dyDescent="0.25">
      <c r="A50" s="35" t="str">
        <f>KA!G50</f>
        <v>Direct - Inactive</v>
      </c>
      <c r="B50" s="35" t="str">
        <f>KA!H50</f>
        <v>J K Pig Farm, Chllakere</v>
      </c>
      <c r="C50" s="43">
        <f>KA!I50</f>
        <v>1639250</v>
      </c>
      <c r="D50" s="43">
        <f>KA!J50</f>
        <v>0</v>
      </c>
      <c r="E50" s="43">
        <f>KA!K50</f>
        <v>0</v>
      </c>
      <c r="F50" s="43">
        <f>KA!L50</f>
        <v>0</v>
      </c>
      <c r="G50" s="43">
        <f>KA!M50</f>
        <v>0</v>
      </c>
      <c r="H50" s="43">
        <f>KA!N50</f>
        <v>0</v>
      </c>
      <c r="I50" s="43">
        <f>KA!O50</f>
        <v>0</v>
      </c>
      <c r="J50" s="43">
        <f>KA!P50</f>
        <v>0</v>
      </c>
      <c r="K50" s="43">
        <f>KA!Q50</f>
        <v>0</v>
      </c>
      <c r="L50" s="43">
        <f>KA!R50</f>
        <v>1639250</v>
      </c>
      <c r="N50" s="37" t="s">
        <v>58</v>
      </c>
      <c r="O50" s="44">
        <v>131750</v>
      </c>
      <c r="Q50" s="12"/>
    </row>
    <row r="51" spans="1:18" x14ac:dyDescent="0.25">
      <c r="A51" s="35" t="str">
        <f>KA!G51</f>
        <v>Direct - Inactive</v>
      </c>
      <c r="B51" s="35" t="str">
        <f>KA!H51</f>
        <v>Jyothi Poultry Farm</v>
      </c>
      <c r="C51" s="43">
        <f>KA!I51</f>
        <v>53935</v>
      </c>
      <c r="D51" s="43">
        <f>KA!J51</f>
        <v>0</v>
      </c>
      <c r="E51" s="43">
        <f>KA!K51</f>
        <v>0</v>
      </c>
      <c r="F51" s="43">
        <f>KA!L51</f>
        <v>0</v>
      </c>
      <c r="G51" s="43">
        <f>KA!M51</f>
        <v>0</v>
      </c>
      <c r="H51" s="43">
        <f>KA!N51</f>
        <v>0</v>
      </c>
      <c r="I51" s="43">
        <f>KA!O51</f>
        <v>0</v>
      </c>
      <c r="J51" s="43">
        <f>KA!P51</f>
        <v>0</v>
      </c>
      <c r="K51" s="43">
        <f>KA!Q51</f>
        <v>53935</v>
      </c>
      <c r="L51" s="43">
        <f>KA!R51</f>
        <v>0</v>
      </c>
      <c r="N51" s="37" t="s">
        <v>59</v>
      </c>
      <c r="O51" s="44">
        <v>3222982</v>
      </c>
      <c r="Q51" s="12"/>
    </row>
    <row r="52" spans="1:18" x14ac:dyDescent="0.25">
      <c r="A52" s="35" t="str">
        <f>KA!G52</f>
        <v>Direct - Inactive</v>
      </c>
      <c r="B52" s="35" t="str">
        <f>KA!H52</f>
        <v>Kannadiga Poultry Farm</v>
      </c>
      <c r="C52" s="43">
        <f>KA!I52</f>
        <v>950</v>
      </c>
      <c r="D52" s="43">
        <f>KA!J52</f>
        <v>0</v>
      </c>
      <c r="E52" s="43">
        <f>KA!K52</f>
        <v>0</v>
      </c>
      <c r="F52" s="43">
        <f>KA!L52</f>
        <v>0</v>
      </c>
      <c r="G52" s="43">
        <f>KA!M52</f>
        <v>0</v>
      </c>
      <c r="H52" s="43">
        <f>KA!N52</f>
        <v>0</v>
      </c>
      <c r="I52" s="43">
        <f>KA!O52</f>
        <v>0</v>
      </c>
      <c r="J52" s="43">
        <f>KA!P52</f>
        <v>950</v>
      </c>
      <c r="K52" s="43">
        <f>KA!Q52</f>
        <v>0</v>
      </c>
      <c r="L52" s="43">
        <f>KA!R52</f>
        <v>0</v>
      </c>
      <c r="N52" s="37" t="s">
        <v>60</v>
      </c>
      <c r="O52" s="44">
        <v>296940</v>
      </c>
      <c r="Q52" s="12"/>
    </row>
    <row r="53" spans="1:18" x14ac:dyDescent="0.25">
      <c r="A53" s="35" t="str">
        <f>KA!G53</f>
        <v>Direct - Inactive</v>
      </c>
      <c r="B53" s="35" t="str">
        <f>KA!H53</f>
        <v>Kempanna Poultry Farm</v>
      </c>
      <c r="C53" s="43">
        <f>KA!I53</f>
        <v>4350</v>
      </c>
      <c r="D53" s="43">
        <f>KA!J53</f>
        <v>0</v>
      </c>
      <c r="E53" s="43">
        <f>KA!K53</f>
        <v>0</v>
      </c>
      <c r="F53" s="43">
        <f>KA!L53</f>
        <v>0</v>
      </c>
      <c r="G53" s="43">
        <f>KA!M53</f>
        <v>0</v>
      </c>
      <c r="H53" s="43">
        <f>KA!N53</f>
        <v>0</v>
      </c>
      <c r="I53" s="43">
        <f>KA!O53</f>
        <v>0</v>
      </c>
      <c r="J53" s="43">
        <f>KA!P53</f>
        <v>4350</v>
      </c>
      <c r="K53" s="43">
        <f>KA!Q53</f>
        <v>0</v>
      </c>
      <c r="L53" s="43">
        <f>KA!R53</f>
        <v>0</v>
      </c>
      <c r="N53" s="37" t="s">
        <v>166</v>
      </c>
      <c r="O53" s="44">
        <v>173480</v>
      </c>
      <c r="Q53" s="12"/>
    </row>
    <row r="54" spans="1:18" x14ac:dyDescent="0.25">
      <c r="A54" s="35" t="str">
        <f>KA!G54</f>
        <v>Direct - Inactive</v>
      </c>
      <c r="B54" s="35" t="str">
        <f>KA!H54</f>
        <v>Krishna Murthy Labour</v>
      </c>
      <c r="C54" s="43">
        <f>KA!I54</f>
        <v>2000</v>
      </c>
      <c r="D54" s="43">
        <f>KA!J54</f>
        <v>0</v>
      </c>
      <c r="E54" s="43">
        <f>KA!K54</f>
        <v>0</v>
      </c>
      <c r="F54" s="43">
        <f>KA!L54</f>
        <v>0</v>
      </c>
      <c r="G54" s="43">
        <f>KA!M54</f>
        <v>0</v>
      </c>
      <c r="H54" s="43">
        <f>KA!N54</f>
        <v>0</v>
      </c>
      <c r="I54" s="43">
        <f>KA!O54</f>
        <v>385</v>
      </c>
      <c r="J54" s="43">
        <f>KA!P54</f>
        <v>1615</v>
      </c>
      <c r="K54" s="43">
        <f>KA!Q54</f>
        <v>0</v>
      </c>
      <c r="L54" s="43">
        <f>KA!R54</f>
        <v>0</v>
      </c>
      <c r="N54" s="37" t="s">
        <v>15</v>
      </c>
      <c r="O54" s="44">
        <v>86330</v>
      </c>
      <c r="Q54" s="12"/>
    </row>
    <row r="55" spans="1:18" x14ac:dyDescent="0.25">
      <c r="A55" s="35" t="str">
        <f>KA!G55</f>
        <v>Direct - Inactive</v>
      </c>
      <c r="B55" s="35" t="str">
        <f>KA!H55</f>
        <v>Krishnappa</v>
      </c>
      <c r="C55" s="43">
        <f>KA!I55</f>
        <v>594147.4</v>
      </c>
      <c r="D55" s="43">
        <f>KA!J55</f>
        <v>0</v>
      </c>
      <c r="E55" s="43">
        <f>KA!K55</f>
        <v>0</v>
      </c>
      <c r="F55" s="43">
        <f>KA!L55</f>
        <v>0</v>
      </c>
      <c r="G55" s="43">
        <f>KA!M55</f>
        <v>0</v>
      </c>
      <c r="H55" s="43">
        <f>KA!N55</f>
        <v>0</v>
      </c>
      <c r="I55" s="43">
        <f>KA!O55</f>
        <v>0</v>
      </c>
      <c r="J55" s="43">
        <f>KA!P55</f>
        <v>0</v>
      </c>
      <c r="K55" s="43">
        <f>KA!Q55</f>
        <v>0</v>
      </c>
      <c r="L55" s="43">
        <f>KA!R55</f>
        <v>594147.4</v>
      </c>
      <c r="N55" s="37" t="s">
        <v>62</v>
      </c>
      <c r="O55" s="44">
        <v>53935</v>
      </c>
      <c r="Q55" s="12"/>
    </row>
    <row r="56" spans="1:18" x14ac:dyDescent="0.25">
      <c r="A56" s="35" t="str">
        <f>KA!G56</f>
        <v>Direct - Inactive</v>
      </c>
      <c r="B56" s="35" t="str">
        <f>KA!H56</f>
        <v>Krushie Kushie C/O Rakshitha</v>
      </c>
      <c r="C56" s="43">
        <f>KA!I56</f>
        <v>864426</v>
      </c>
      <c r="D56" s="43">
        <f>KA!J56</f>
        <v>0</v>
      </c>
      <c r="E56" s="43">
        <f>KA!K56</f>
        <v>0</v>
      </c>
      <c r="F56" s="43">
        <f>KA!L56</f>
        <v>0</v>
      </c>
      <c r="G56" s="43">
        <f>KA!M56</f>
        <v>0</v>
      </c>
      <c r="H56" s="43">
        <f>KA!N56</f>
        <v>0</v>
      </c>
      <c r="I56" s="43">
        <f>KA!O56</f>
        <v>0</v>
      </c>
      <c r="J56" s="43">
        <f>KA!P56</f>
        <v>864426</v>
      </c>
      <c r="K56" s="43">
        <f>KA!Q56</f>
        <v>0</v>
      </c>
      <c r="L56" s="43">
        <f>KA!R56</f>
        <v>0</v>
      </c>
      <c r="N56" s="37" t="s">
        <v>167</v>
      </c>
      <c r="O56" s="44">
        <v>81564.160000000003</v>
      </c>
      <c r="Q56" s="12"/>
    </row>
    <row r="57" spans="1:18" x14ac:dyDescent="0.25">
      <c r="A57" s="35" t="str">
        <f>KA!G57</f>
        <v>Direct - Inactive</v>
      </c>
      <c r="B57" s="35" t="str">
        <f>KA!H57</f>
        <v>Lalitha Farm, Kadur</v>
      </c>
      <c r="C57" s="43">
        <f>KA!I57</f>
        <v>36700</v>
      </c>
      <c r="D57" s="43">
        <f>KA!J57</f>
        <v>0</v>
      </c>
      <c r="E57" s="43">
        <f>KA!K57</f>
        <v>0</v>
      </c>
      <c r="F57" s="43">
        <f>KA!L57</f>
        <v>0</v>
      </c>
      <c r="G57" s="43">
        <f>KA!M57</f>
        <v>0</v>
      </c>
      <c r="H57" s="43">
        <f>KA!N57</f>
        <v>0</v>
      </c>
      <c r="I57" s="43">
        <f>KA!O57</f>
        <v>0</v>
      </c>
      <c r="J57" s="43">
        <f>KA!P57</f>
        <v>0</v>
      </c>
      <c r="K57" s="43">
        <f>KA!Q57</f>
        <v>0</v>
      </c>
      <c r="L57" s="43">
        <f>KA!R57</f>
        <v>36700</v>
      </c>
      <c r="N57" s="37" t="s">
        <v>16</v>
      </c>
      <c r="O57" s="44">
        <v>367278</v>
      </c>
      <c r="Q57" s="12"/>
    </row>
    <row r="58" spans="1:18" x14ac:dyDescent="0.25">
      <c r="A58" s="35" t="str">
        <f>KA!G58</f>
        <v>Direct - Inactive</v>
      </c>
      <c r="B58" s="35" t="str">
        <f>KA!H58</f>
        <v>Madduramma Poultry Farm</v>
      </c>
      <c r="C58" s="43">
        <f>KA!I58</f>
        <v>76200</v>
      </c>
      <c r="D58" s="43">
        <f>KA!J58</f>
        <v>0</v>
      </c>
      <c r="E58" s="43">
        <f>KA!K58</f>
        <v>0</v>
      </c>
      <c r="F58" s="43">
        <f>KA!L58</f>
        <v>0</v>
      </c>
      <c r="G58" s="43">
        <f>KA!M58</f>
        <v>0</v>
      </c>
      <c r="H58" s="43">
        <f>KA!N58</f>
        <v>0</v>
      </c>
      <c r="I58" s="43">
        <f>KA!O58</f>
        <v>0</v>
      </c>
      <c r="J58" s="43">
        <f>KA!P58</f>
        <v>0</v>
      </c>
      <c r="K58" s="43">
        <f>KA!Q58</f>
        <v>0</v>
      </c>
      <c r="L58" s="43">
        <f>KA!R58</f>
        <v>76200</v>
      </c>
      <c r="N58" s="37" t="s">
        <v>247</v>
      </c>
      <c r="O58" s="44">
        <v>72657.64</v>
      </c>
      <c r="Q58" s="12"/>
    </row>
    <row r="59" spans="1:18" x14ac:dyDescent="0.25">
      <c r="A59" s="35" t="str">
        <f>KA!G59</f>
        <v>Direct - Inactive</v>
      </c>
      <c r="B59" s="35" t="str">
        <f>KA!H59</f>
        <v>Megha Poultry Farm</v>
      </c>
      <c r="C59" s="43">
        <f>KA!I59</f>
        <v>317430</v>
      </c>
      <c r="D59" s="43">
        <f>KA!J59</f>
        <v>0</v>
      </c>
      <c r="E59" s="43">
        <f>KA!K59</f>
        <v>0</v>
      </c>
      <c r="F59" s="43">
        <f>KA!L59</f>
        <v>0</v>
      </c>
      <c r="G59" s="43">
        <f>KA!M59</f>
        <v>0</v>
      </c>
      <c r="H59" s="43">
        <f>KA!N59</f>
        <v>0</v>
      </c>
      <c r="I59" s="43">
        <f>KA!O59</f>
        <v>0</v>
      </c>
      <c r="J59" s="43">
        <f>KA!P59</f>
        <v>0</v>
      </c>
      <c r="K59" s="43">
        <f>KA!Q59</f>
        <v>0</v>
      </c>
      <c r="L59" s="43">
        <f>KA!R59</f>
        <v>317430</v>
      </c>
      <c r="N59" s="37" t="s">
        <v>261</v>
      </c>
      <c r="O59" s="44">
        <v>117261</v>
      </c>
      <c r="Q59" s="12"/>
    </row>
    <row r="60" spans="1:18" x14ac:dyDescent="0.25">
      <c r="A60" s="35" t="str">
        <f>KA!G60</f>
        <v>Direct - Inactive</v>
      </c>
      <c r="B60" s="35" t="str">
        <f>KA!H60</f>
        <v>M.Nataraja S/O M.R.Muniswamy</v>
      </c>
      <c r="C60" s="43">
        <f>KA!I60</f>
        <v>101265</v>
      </c>
      <c r="D60" s="43">
        <f>KA!J60</f>
        <v>0</v>
      </c>
      <c r="E60" s="43">
        <f>KA!K60</f>
        <v>0</v>
      </c>
      <c r="F60" s="43">
        <f>KA!L60</f>
        <v>0</v>
      </c>
      <c r="G60" s="43">
        <f>KA!M60</f>
        <v>0</v>
      </c>
      <c r="H60" s="43">
        <f>KA!N60</f>
        <v>0</v>
      </c>
      <c r="I60" s="43">
        <f>KA!O60</f>
        <v>0</v>
      </c>
      <c r="J60" s="43">
        <f>KA!P60</f>
        <v>0</v>
      </c>
      <c r="K60" s="43">
        <f>KA!Q60</f>
        <v>0</v>
      </c>
      <c r="L60" s="43">
        <f>KA!R60</f>
        <v>101265</v>
      </c>
      <c r="N60" s="37" t="s">
        <v>262</v>
      </c>
      <c r="O60" s="44">
        <v>202127</v>
      </c>
      <c r="Q60" s="12"/>
    </row>
    <row r="61" spans="1:18" x14ac:dyDescent="0.25">
      <c r="A61" s="35" t="str">
        <f>KA!G61</f>
        <v>Direct - Inactive</v>
      </c>
      <c r="B61" s="35" t="str">
        <f>KA!H61</f>
        <v>Murali Pig Farm</v>
      </c>
      <c r="C61" s="43">
        <f>KA!I61</f>
        <v>4000</v>
      </c>
      <c r="D61" s="43">
        <f>KA!J61</f>
        <v>0</v>
      </c>
      <c r="E61" s="43">
        <f>KA!K61</f>
        <v>0</v>
      </c>
      <c r="F61" s="43">
        <f>KA!L61</f>
        <v>0</v>
      </c>
      <c r="G61" s="43">
        <f>KA!M61</f>
        <v>0</v>
      </c>
      <c r="H61" s="43">
        <f>KA!N61</f>
        <v>0</v>
      </c>
      <c r="I61" s="43">
        <f>KA!O61</f>
        <v>0</v>
      </c>
      <c r="J61" s="43">
        <f>KA!P61</f>
        <v>0</v>
      </c>
      <c r="K61" s="43">
        <f>KA!Q61</f>
        <v>4000</v>
      </c>
      <c r="L61" s="43">
        <f>KA!R61</f>
        <v>0</v>
      </c>
      <c r="N61" s="37" t="s">
        <v>260</v>
      </c>
      <c r="O61" s="44">
        <v>157024.79</v>
      </c>
      <c r="Q61" s="12"/>
    </row>
    <row r="62" spans="1:18" x14ac:dyDescent="0.25">
      <c r="A62" s="35" t="str">
        <f>KA!G62</f>
        <v>Direct - Inactive</v>
      </c>
      <c r="B62" s="35" t="str">
        <f>KA!H62</f>
        <v>Nandan Agencies</v>
      </c>
      <c r="C62" s="43">
        <f>KA!I62</f>
        <v>496253</v>
      </c>
      <c r="D62" s="43">
        <f>KA!J62</f>
        <v>0</v>
      </c>
      <c r="E62" s="43">
        <f>KA!K62</f>
        <v>0</v>
      </c>
      <c r="F62" s="43">
        <f>KA!L62</f>
        <v>0</v>
      </c>
      <c r="G62" s="43">
        <f>KA!M62</f>
        <v>0</v>
      </c>
      <c r="H62" s="43">
        <f>KA!N62</f>
        <v>0</v>
      </c>
      <c r="I62" s="43">
        <f>KA!O62</f>
        <v>0</v>
      </c>
      <c r="J62" s="43">
        <f>KA!P62</f>
        <v>0</v>
      </c>
      <c r="K62" s="43">
        <f>KA!Q62</f>
        <v>0</v>
      </c>
      <c r="L62" s="43">
        <f>KA!R62</f>
        <v>496253</v>
      </c>
      <c r="N62" s="37" t="s">
        <v>128</v>
      </c>
      <c r="O62" s="44">
        <v>92049</v>
      </c>
      <c r="Q62" s="12"/>
    </row>
    <row r="63" spans="1:18" x14ac:dyDescent="0.25">
      <c r="A63" s="35" t="str">
        <f>KA!G63</f>
        <v>Direct - Inactive</v>
      </c>
      <c r="B63" s="35" t="str">
        <f>KA!H63</f>
        <v>Narayana Poultry Farm</v>
      </c>
      <c r="C63" s="43">
        <f>KA!I63</f>
        <v>2610248</v>
      </c>
      <c r="D63" s="43">
        <f>KA!J63</f>
        <v>0</v>
      </c>
      <c r="E63" s="43">
        <f>KA!K63</f>
        <v>0</v>
      </c>
      <c r="F63" s="43">
        <f>KA!L63</f>
        <v>0</v>
      </c>
      <c r="G63" s="43">
        <f>KA!M63</f>
        <v>0</v>
      </c>
      <c r="H63" s="43">
        <f>KA!N63</f>
        <v>0</v>
      </c>
      <c r="I63" s="43">
        <f>KA!O63</f>
        <v>0</v>
      </c>
      <c r="J63" s="43">
        <f>KA!P63</f>
        <v>0</v>
      </c>
      <c r="K63" s="43">
        <f>KA!Q63</f>
        <v>0</v>
      </c>
      <c r="L63" s="43">
        <f>KA!R63</f>
        <v>2610248</v>
      </c>
      <c r="N63" s="37" t="s">
        <v>154</v>
      </c>
      <c r="O63" s="44">
        <v>135750</v>
      </c>
      <c r="Q63" s="12"/>
    </row>
    <row r="64" spans="1:18" x14ac:dyDescent="0.25">
      <c r="A64" s="35" t="str">
        <f>KA!G64</f>
        <v>Direct - Inactive</v>
      </c>
      <c r="B64" s="35" t="str">
        <f>KA!H64</f>
        <v>Nellukkarans Foods &amp; Feeds Pvt Ltd</v>
      </c>
      <c r="C64" s="43">
        <f>KA!I64</f>
        <v>528500</v>
      </c>
      <c r="D64" s="43">
        <f>KA!J64</f>
        <v>0</v>
      </c>
      <c r="E64" s="43">
        <f>KA!K64</f>
        <v>0</v>
      </c>
      <c r="F64" s="43">
        <f>KA!L64</f>
        <v>0</v>
      </c>
      <c r="G64" s="43">
        <f>KA!M64</f>
        <v>0</v>
      </c>
      <c r="H64" s="43">
        <f>KA!N64</f>
        <v>0</v>
      </c>
      <c r="I64" s="43">
        <f>KA!O64</f>
        <v>0</v>
      </c>
      <c r="J64" s="43">
        <f>KA!P64</f>
        <v>0</v>
      </c>
      <c r="K64" s="43">
        <f>KA!Q64</f>
        <v>0</v>
      </c>
      <c r="L64" s="43">
        <f>KA!R64</f>
        <v>528500</v>
      </c>
      <c r="N64" s="37" t="s">
        <v>63</v>
      </c>
      <c r="O64" s="44">
        <v>950</v>
      </c>
      <c r="Q64" s="12"/>
    </row>
    <row r="65" spans="1:17" x14ac:dyDescent="0.25">
      <c r="A65" s="35" t="str">
        <f>KA!G65</f>
        <v>Direct - Inactive</v>
      </c>
      <c r="B65" s="35" t="str">
        <f>KA!H65</f>
        <v>Ningappa Poultry Farm</v>
      </c>
      <c r="C65" s="43">
        <f>KA!I65</f>
        <v>688177</v>
      </c>
      <c r="D65" s="43">
        <f>KA!J65</f>
        <v>0</v>
      </c>
      <c r="E65" s="43">
        <f>KA!K65</f>
        <v>0</v>
      </c>
      <c r="F65" s="43">
        <f>KA!L65</f>
        <v>0</v>
      </c>
      <c r="G65" s="43">
        <f>KA!M65</f>
        <v>0</v>
      </c>
      <c r="H65" s="43">
        <f>KA!N65</f>
        <v>0</v>
      </c>
      <c r="I65" s="43">
        <f>KA!O65</f>
        <v>0</v>
      </c>
      <c r="J65" s="43">
        <f>KA!P65</f>
        <v>0</v>
      </c>
      <c r="K65" s="43">
        <f>KA!Q65</f>
        <v>0</v>
      </c>
      <c r="L65" s="43">
        <f>KA!R65</f>
        <v>688177</v>
      </c>
      <c r="N65" s="37" t="s">
        <v>168</v>
      </c>
      <c r="O65" s="44">
        <v>6444.4</v>
      </c>
      <c r="Q65" s="12"/>
    </row>
    <row r="66" spans="1:17" x14ac:dyDescent="0.25">
      <c r="A66" s="35" t="str">
        <f>KA!G66</f>
        <v>Direct - Inactive</v>
      </c>
      <c r="B66" s="35" t="str">
        <f>KA!H66</f>
        <v>Ningaraju Poultry Farm</v>
      </c>
      <c r="C66" s="43">
        <f>KA!I66</f>
        <v>23175</v>
      </c>
      <c r="D66" s="43">
        <f>KA!J66</f>
        <v>0</v>
      </c>
      <c r="E66" s="43">
        <f>KA!K66</f>
        <v>0</v>
      </c>
      <c r="F66" s="43">
        <f>KA!L66</f>
        <v>0</v>
      </c>
      <c r="G66" s="43">
        <f>KA!M66</f>
        <v>0</v>
      </c>
      <c r="H66" s="43">
        <f>KA!N66</f>
        <v>0</v>
      </c>
      <c r="I66" s="43">
        <f>KA!O66</f>
        <v>0</v>
      </c>
      <c r="J66" s="43">
        <f>KA!P66</f>
        <v>0</v>
      </c>
      <c r="K66" s="43">
        <f>KA!Q66</f>
        <v>23175</v>
      </c>
      <c r="L66" s="43">
        <f>KA!R66</f>
        <v>0</v>
      </c>
      <c r="N66" s="37" t="s">
        <v>169</v>
      </c>
      <c r="O66" s="44">
        <v>12000</v>
      </c>
      <c r="Q66" s="12"/>
    </row>
    <row r="67" spans="1:17" x14ac:dyDescent="0.25">
      <c r="A67" s="35" t="str">
        <f>KA!G67</f>
        <v>Direct - Inactive</v>
      </c>
      <c r="B67" s="35" t="str">
        <f>KA!H67</f>
        <v>Pramod Kumar.C Poultry Farm</v>
      </c>
      <c r="C67" s="43">
        <f>KA!I67</f>
        <v>47200</v>
      </c>
      <c r="D67" s="43">
        <f>KA!J67</f>
        <v>0</v>
      </c>
      <c r="E67" s="43">
        <f>KA!K67</f>
        <v>0</v>
      </c>
      <c r="F67" s="43">
        <f>KA!L67</f>
        <v>0</v>
      </c>
      <c r="G67" s="43">
        <f>KA!M67</f>
        <v>0</v>
      </c>
      <c r="H67" s="43">
        <f>KA!N67</f>
        <v>0</v>
      </c>
      <c r="I67" s="43">
        <f>KA!O67</f>
        <v>0</v>
      </c>
      <c r="J67" s="43">
        <f>KA!P67</f>
        <v>0</v>
      </c>
      <c r="K67" s="43">
        <f>KA!Q67</f>
        <v>0</v>
      </c>
      <c r="L67" s="43">
        <f>KA!R67</f>
        <v>47200</v>
      </c>
      <c r="N67" s="37" t="s">
        <v>170</v>
      </c>
      <c r="O67" s="44">
        <v>335497</v>
      </c>
      <c r="Q67" s="12"/>
    </row>
    <row r="68" spans="1:17" x14ac:dyDescent="0.25">
      <c r="A68" s="35" t="str">
        <f>KA!G68</f>
        <v>Direct - Inactive</v>
      </c>
      <c r="B68" s="35" t="str">
        <f>KA!H68</f>
        <v>Praveen Poultry Farm - Koppa</v>
      </c>
      <c r="C68" s="43">
        <f>KA!I68</f>
        <v>45014</v>
      </c>
      <c r="D68" s="43">
        <f>KA!J68</f>
        <v>0</v>
      </c>
      <c r="E68" s="43">
        <f>KA!K68</f>
        <v>0</v>
      </c>
      <c r="F68" s="43">
        <f>KA!L68</f>
        <v>0</v>
      </c>
      <c r="G68" s="43">
        <f>KA!M68</f>
        <v>0</v>
      </c>
      <c r="H68" s="43">
        <f>KA!N68</f>
        <v>0</v>
      </c>
      <c r="I68" s="43">
        <f>KA!O68</f>
        <v>0</v>
      </c>
      <c r="J68" s="43">
        <f>KA!P68</f>
        <v>0</v>
      </c>
      <c r="K68" s="43">
        <f>KA!Q68</f>
        <v>0</v>
      </c>
      <c r="L68" s="43">
        <f>KA!R68</f>
        <v>45014</v>
      </c>
      <c r="N68" s="37" t="s">
        <v>64</v>
      </c>
      <c r="O68" s="44">
        <v>4350</v>
      </c>
      <c r="Q68" s="12"/>
    </row>
    <row r="69" spans="1:17" x14ac:dyDescent="0.25">
      <c r="A69" s="35" t="str">
        <f>KA!G69</f>
        <v>Direct - Inactive</v>
      </c>
      <c r="B69" s="35" t="str">
        <f>KA!H69</f>
        <v>Principal Investigator</v>
      </c>
      <c r="C69" s="43">
        <f>KA!I69</f>
        <v>51000</v>
      </c>
      <c r="D69" s="43">
        <f>KA!J69</f>
        <v>0</v>
      </c>
      <c r="E69" s="43">
        <f>KA!K69</f>
        <v>0</v>
      </c>
      <c r="F69" s="43">
        <f>KA!L69</f>
        <v>0</v>
      </c>
      <c r="G69" s="43">
        <f>KA!M69</f>
        <v>0</v>
      </c>
      <c r="H69" s="43">
        <f>KA!N69</f>
        <v>0</v>
      </c>
      <c r="I69" s="43">
        <f>KA!O69</f>
        <v>0</v>
      </c>
      <c r="J69" s="43">
        <f>KA!P69</f>
        <v>0</v>
      </c>
      <c r="K69" s="43">
        <f>KA!Q69</f>
        <v>0</v>
      </c>
      <c r="L69" s="43">
        <f>KA!R69</f>
        <v>51000</v>
      </c>
      <c r="N69" s="37" t="s">
        <v>226</v>
      </c>
      <c r="O69" s="44">
        <v>340</v>
      </c>
      <c r="Q69" s="12"/>
    </row>
    <row r="70" spans="1:17" x14ac:dyDescent="0.25">
      <c r="A70" s="35" t="str">
        <f>KA!G70</f>
        <v>Direct - Inactive</v>
      </c>
      <c r="B70" s="35" t="str">
        <f>KA!H70</f>
        <v>Puttaswamy Poultry Farm- Channapatna</v>
      </c>
      <c r="C70" s="43">
        <f>KA!I70</f>
        <v>235925</v>
      </c>
      <c r="D70" s="43">
        <f>KA!J70</f>
        <v>0</v>
      </c>
      <c r="E70" s="43">
        <f>KA!K70</f>
        <v>0</v>
      </c>
      <c r="F70" s="43">
        <f>KA!L70</f>
        <v>0</v>
      </c>
      <c r="G70" s="43">
        <f>KA!M70</f>
        <v>0</v>
      </c>
      <c r="H70" s="43">
        <f>KA!N70</f>
        <v>0</v>
      </c>
      <c r="I70" s="43">
        <f>KA!O70</f>
        <v>0</v>
      </c>
      <c r="J70" s="43">
        <f>KA!P70</f>
        <v>0</v>
      </c>
      <c r="K70" s="43">
        <f>KA!Q70</f>
        <v>0</v>
      </c>
      <c r="L70" s="43">
        <f>KA!R70</f>
        <v>235925</v>
      </c>
      <c r="N70" s="37" t="s">
        <v>119</v>
      </c>
      <c r="O70" s="44">
        <v>32252</v>
      </c>
      <c r="Q70" s="12"/>
    </row>
    <row r="71" spans="1:17" x14ac:dyDescent="0.25">
      <c r="A71" s="35" t="str">
        <f>KA!G71</f>
        <v>Direct - Inactive</v>
      </c>
      <c r="B71" s="35" t="str">
        <f>KA!H71</f>
        <v>Quality Poultry Farms &amp; Feeds</v>
      </c>
      <c r="C71" s="43">
        <f>KA!I71</f>
        <v>755000</v>
      </c>
      <c r="D71" s="43">
        <f>KA!J71</f>
        <v>0</v>
      </c>
      <c r="E71" s="43">
        <f>KA!K71</f>
        <v>0</v>
      </c>
      <c r="F71" s="43">
        <f>KA!L71</f>
        <v>0</v>
      </c>
      <c r="G71" s="43">
        <f>KA!M71</f>
        <v>0</v>
      </c>
      <c r="H71" s="43">
        <f>KA!N71</f>
        <v>0</v>
      </c>
      <c r="I71" s="43">
        <f>KA!O71</f>
        <v>0</v>
      </c>
      <c r="J71" s="43">
        <f>KA!P71</f>
        <v>0</v>
      </c>
      <c r="K71" s="43">
        <f>KA!Q71</f>
        <v>0</v>
      </c>
      <c r="L71" s="43">
        <f>KA!R71</f>
        <v>755000</v>
      </c>
      <c r="N71" s="37" t="s">
        <v>65</v>
      </c>
      <c r="O71" s="44">
        <v>2000</v>
      </c>
      <c r="Q71" s="12"/>
    </row>
    <row r="72" spans="1:17" x14ac:dyDescent="0.25">
      <c r="A72" s="35" t="str">
        <f>KA!G72</f>
        <v>Direct - Inactive</v>
      </c>
      <c r="B72" s="35" t="str">
        <f>KA!H72</f>
        <v>Raghavendra Poultry Farms</v>
      </c>
      <c r="C72" s="43">
        <f>KA!I72</f>
        <v>63075</v>
      </c>
      <c r="D72" s="43">
        <f>KA!J72</f>
        <v>0</v>
      </c>
      <c r="E72" s="43">
        <f>KA!K72</f>
        <v>0</v>
      </c>
      <c r="F72" s="43">
        <f>KA!L72</f>
        <v>0</v>
      </c>
      <c r="G72" s="43">
        <f>KA!M72</f>
        <v>0</v>
      </c>
      <c r="H72" s="43">
        <f>KA!N72</f>
        <v>0</v>
      </c>
      <c r="I72" s="43">
        <f>KA!O72</f>
        <v>0</v>
      </c>
      <c r="J72" s="43">
        <f>KA!P72</f>
        <v>0</v>
      </c>
      <c r="K72" s="43">
        <f>KA!Q72</f>
        <v>48450</v>
      </c>
      <c r="L72" s="43">
        <f>KA!R72</f>
        <v>14625</v>
      </c>
      <c r="N72" s="37" t="s">
        <v>17</v>
      </c>
      <c r="O72" s="44">
        <v>2754944.52</v>
      </c>
      <c r="Q72" s="12"/>
    </row>
    <row r="73" spans="1:17" x14ac:dyDescent="0.25">
      <c r="A73" s="35" t="str">
        <f>KA!G73</f>
        <v>Direct - Inactive</v>
      </c>
      <c r="B73" s="35" t="str">
        <f>KA!H73</f>
        <v>Raju Poultry  Farm Mandya</v>
      </c>
      <c r="C73" s="43">
        <f>KA!I73</f>
        <v>14160</v>
      </c>
      <c r="D73" s="43">
        <f>KA!J73</f>
        <v>0</v>
      </c>
      <c r="E73" s="43">
        <f>KA!K73</f>
        <v>0</v>
      </c>
      <c r="F73" s="43">
        <f>KA!L73</f>
        <v>0</v>
      </c>
      <c r="G73" s="43">
        <f>KA!M73</f>
        <v>0</v>
      </c>
      <c r="H73" s="43">
        <f>KA!N73</f>
        <v>0</v>
      </c>
      <c r="I73" s="43">
        <f>KA!O73</f>
        <v>0</v>
      </c>
      <c r="J73" s="43">
        <f>KA!P73</f>
        <v>0</v>
      </c>
      <c r="K73" s="43">
        <f>KA!Q73</f>
        <v>0</v>
      </c>
      <c r="L73" s="43">
        <f>KA!R73</f>
        <v>14160</v>
      </c>
      <c r="N73" s="37" t="s">
        <v>134</v>
      </c>
      <c r="O73" s="44">
        <v>94800</v>
      </c>
      <c r="Q73" s="12"/>
    </row>
    <row r="74" spans="1:17" x14ac:dyDescent="0.25">
      <c r="A74" s="35" t="str">
        <f>KA!G74</f>
        <v>Direct - Inactive</v>
      </c>
      <c r="B74" s="35" t="str">
        <f>KA!H74</f>
        <v>Ranjith Pig Farm</v>
      </c>
      <c r="C74" s="43">
        <f>KA!I74</f>
        <v>3940</v>
      </c>
      <c r="D74" s="43">
        <f>KA!J74</f>
        <v>0</v>
      </c>
      <c r="E74" s="43">
        <f>KA!K74</f>
        <v>0</v>
      </c>
      <c r="F74" s="43">
        <f>KA!L74</f>
        <v>0</v>
      </c>
      <c r="G74" s="43">
        <f>KA!M74</f>
        <v>0</v>
      </c>
      <c r="H74" s="43">
        <f>KA!N74</f>
        <v>0</v>
      </c>
      <c r="I74" s="43">
        <f>KA!O74</f>
        <v>3940</v>
      </c>
      <c r="J74" s="43">
        <f>KA!P74</f>
        <v>0</v>
      </c>
      <c r="K74" s="43">
        <f>KA!Q74</f>
        <v>0</v>
      </c>
      <c r="L74" s="43">
        <f>KA!R74</f>
        <v>0</v>
      </c>
      <c r="N74" s="37" t="s">
        <v>66</v>
      </c>
      <c r="O74" s="44">
        <v>594147.4</v>
      </c>
      <c r="Q74" s="12"/>
    </row>
    <row r="75" spans="1:17" x14ac:dyDescent="0.25">
      <c r="A75" s="35" t="str">
        <f>KA!G75</f>
        <v>Direct - Inactive</v>
      </c>
      <c r="B75" s="35" t="str">
        <f>KA!H75</f>
        <v>Ravi Poultry Farm,K M Doddi</v>
      </c>
      <c r="C75" s="43">
        <f>KA!I75</f>
        <v>24960</v>
      </c>
      <c r="D75" s="43">
        <f>KA!J75</f>
        <v>0</v>
      </c>
      <c r="E75" s="43">
        <f>KA!K75</f>
        <v>0</v>
      </c>
      <c r="F75" s="43">
        <f>KA!L75</f>
        <v>0</v>
      </c>
      <c r="G75" s="43">
        <f>KA!M75</f>
        <v>0</v>
      </c>
      <c r="H75" s="43">
        <f>KA!N75</f>
        <v>0</v>
      </c>
      <c r="I75" s="43">
        <f>KA!O75</f>
        <v>0</v>
      </c>
      <c r="J75" s="43">
        <f>KA!P75</f>
        <v>0</v>
      </c>
      <c r="K75" s="43">
        <f>KA!Q75</f>
        <v>0</v>
      </c>
      <c r="L75" s="43">
        <f>KA!R75</f>
        <v>24960</v>
      </c>
      <c r="N75" s="37" t="s">
        <v>67</v>
      </c>
      <c r="O75" s="44">
        <v>864426</v>
      </c>
      <c r="Q75" s="12"/>
    </row>
    <row r="76" spans="1:17" x14ac:dyDescent="0.25">
      <c r="A76" s="35" t="str">
        <f>KA!G76</f>
        <v>Direct - Inactive</v>
      </c>
      <c r="B76" s="35" t="str">
        <f>KA!H76</f>
        <v>Roopa Poultry Farm</v>
      </c>
      <c r="C76" s="43">
        <f>KA!I76</f>
        <v>119005.51</v>
      </c>
      <c r="D76" s="43">
        <f>KA!J76</f>
        <v>0</v>
      </c>
      <c r="E76" s="43">
        <f>KA!K76</f>
        <v>0</v>
      </c>
      <c r="F76" s="43">
        <f>KA!L76</f>
        <v>0</v>
      </c>
      <c r="G76" s="43">
        <f>KA!M76</f>
        <v>0</v>
      </c>
      <c r="H76" s="43">
        <f>KA!N76</f>
        <v>0</v>
      </c>
      <c r="I76" s="43">
        <f>KA!O76</f>
        <v>0</v>
      </c>
      <c r="J76" s="43">
        <f>KA!P76</f>
        <v>0</v>
      </c>
      <c r="K76" s="43">
        <f>KA!Q76</f>
        <v>0</v>
      </c>
      <c r="L76" s="43">
        <f>KA!R76</f>
        <v>119005.51</v>
      </c>
      <c r="N76" s="37" t="s">
        <v>18</v>
      </c>
      <c r="O76" s="44">
        <v>1025</v>
      </c>
      <c r="Q76" s="12"/>
    </row>
    <row r="77" spans="1:17" x14ac:dyDescent="0.25">
      <c r="A77" s="35" t="str">
        <f>KA!G77</f>
        <v>Direct - Inactive</v>
      </c>
      <c r="B77" s="35" t="str">
        <f>KA!H77</f>
        <v>Sakshi Feeds &amp; Farms</v>
      </c>
      <c r="C77" s="43">
        <f>KA!I77</f>
        <v>215059</v>
      </c>
      <c r="D77" s="43">
        <f>KA!J77</f>
        <v>0</v>
      </c>
      <c r="E77" s="43">
        <f>KA!K77</f>
        <v>0</v>
      </c>
      <c r="F77" s="43">
        <f>KA!L77</f>
        <v>0</v>
      </c>
      <c r="G77" s="43">
        <f>KA!M77</f>
        <v>0</v>
      </c>
      <c r="H77" s="43">
        <f>KA!N77</f>
        <v>0</v>
      </c>
      <c r="I77" s="43">
        <f>KA!O77</f>
        <v>0</v>
      </c>
      <c r="J77" s="43">
        <f>KA!P77</f>
        <v>0</v>
      </c>
      <c r="K77" s="43">
        <f>KA!Q77</f>
        <v>0</v>
      </c>
      <c r="L77" s="43">
        <f>KA!R77</f>
        <v>215059</v>
      </c>
      <c r="N77" s="37" t="s">
        <v>293</v>
      </c>
      <c r="O77" s="44">
        <v>1874174</v>
      </c>
      <c r="Q77" s="12"/>
    </row>
    <row r="78" spans="1:17" x14ac:dyDescent="0.25">
      <c r="A78" s="35" t="str">
        <f>KA!G78</f>
        <v>Direct - Inactive</v>
      </c>
      <c r="B78" s="35" t="str">
        <f>KA!H78</f>
        <v>Sameer Khan Pf Maddur</v>
      </c>
      <c r="C78" s="43">
        <f>KA!I78</f>
        <v>1330</v>
      </c>
      <c r="D78" s="43">
        <f>KA!J78</f>
        <v>0</v>
      </c>
      <c r="E78" s="43">
        <f>KA!K78</f>
        <v>0</v>
      </c>
      <c r="F78" s="43">
        <f>KA!L78</f>
        <v>0</v>
      </c>
      <c r="G78" s="43">
        <f>KA!M78</f>
        <v>0</v>
      </c>
      <c r="H78" s="43">
        <f>KA!N78</f>
        <v>0</v>
      </c>
      <c r="I78" s="43">
        <f>KA!O78</f>
        <v>1330</v>
      </c>
      <c r="J78" s="43">
        <f>KA!P78</f>
        <v>0</v>
      </c>
      <c r="K78" s="43">
        <f>KA!Q78</f>
        <v>0</v>
      </c>
      <c r="L78" s="43">
        <f>KA!R78</f>
        <v>0</v>
      </c>
      <c r="N78" s="37" t="s">
        <v>263</v>
      </c>
      <c r="O78" s="44">
        <v>40369</v>
      </c>
      <c r="Q78" s="12"/>
    </row>
    <row r="79" spans="1:17" x14ac:dyDescent="0.25">
      <c r="A79" s="35" t="str">
        <f>KA!G79</f>
        <v>Direct - Inactive</v>
      </c>
      <c r="B79" s="35" t="str">
        <f>KA!H79</f>
        <v>Santhosh PF</v>
      </c>
      <c r="C79" s="43">
        <f>KA!I79</f>
        <v>241849</v>
      </c>
      <c r="D79" s="43">
        <f>KA!J79</f>
        <v>0</v>
      </c>
      <c r="E79" s="43">
        <f>KA!K79</f>
        <v>0</v>
      </c>
      <c r="F79" s="43">
        <f>KA!L79</f>
        <v>0</v>
      </c>
      <c r="G79" s="43">
        <f>KA!M79</f>
        <v>0</v>
      </c>
      <c r="H79" s="43">
        <f>KA!N79</f>
        <v>0</v>
      </c>
      <c r="I79" s="43">
        <f>KA!O79</f>
        <v>0</v>
      </c>
      <c r="J79" s="43">
        <f>KA!P79</f>
        <v>0</v>
      </c>
      <c r="K79" s="43">
        <f>KA!Q79</f>
        <v>0</v>
      </c>
      <c r="L79" s="43">
        <f>KA!R79</f>
        <v>241849</v>
      </c>
      <c r="N79" s="37" t="s">
        <v>264</v>
      </c>
      <c r="O79" s="44">
        <v>35337.160000000003</v>
      </c>
      <c r="Q79" s="12"/>
    </row>
    <row r="80" spans="1:17" x14ac:dyDescent="0.25">
      <c r="A80" s="35" t="str">
        <f>KA!G80</f>
        <v>Direct - Inactive</v>
      </c>
      <c r="B80" s="35" t="str">
        <f>KA!H80</f>
        <v>Santhosh Poultry Farm</v>
      </c>
      <c r="C80" s="43">
        <f>KA!I80</f>
        <v>356899</v>
      </c>
      <c r="D80" s="43">
        <f>KA!J80</f>
        <v>0</v>
      </c>
      <c r="E80" s="43">
        <f>KA!K80</f>
        <v>0</v>
      </c>
      <c r="F80" s="43">
        <f>KA!L80</f>
        <v>0</v>
      </c>
      <c r="G80" s="43">
        <f>KA!M80</f>
        <v>0</v>
      </c>
      <c r="H80" s="43">
        <f>KA!N80</f>
        <v>0</v>
      </c>
      <c r="I80" s="43">
        <f>KA!O80</f>
        <v>0</v>
      </c>
      <c r="J80" s="43">
        <f>KA!P80</f>
        <v>0</v>
      </c>
      <c r="K80" s="43">
        <f>KA!Q80</f>
        <v>0</v>
      </c>
      <c r="L80" s="43">
        <f>KA!R80</f>
        <v>356899</v>
      </c>
      <c r="N80" s="37" t="s">
        <v>68</v>
      </c>
      <c r="O80" s="44">
        <v>36700</v>
      </c>
      <c r="Q80" s="12"/>
    </row>
    <row r="81" spans="1:18" x14ac:dyDescent="0.25">
      <c r="A81" s="35" t="str">
        <f>KA!G81</f>
        <v>Direct - Inactive</v>
      </c>
      <c r="B81" s="35" t="str">
        <f>KA!H81</f>
        <v>S A Poultry Farm</v>
      </c>
      <c r="C81" s="43">
        <f>KA!I81</f>
        <v>653616</v>
      </c>
      <c r="D81" s="43">
        <f>KA!J81</f>
        <v>0</v>
      </c>
      <c r="E81" s="43">
        <f>KA!K81</f>
        <v>0</v>
      </c>
      <c r="F81" s="43">
        <f>KA!L81</f>
        <v>0</v>
      </c>
      <c r="G81" s="43">
        <f>KA!M81</f>
        <v>0</v>
      </c>
      <c r="H81" s="43">
        <f>KA!N81</f>
        <v>0</v>
      </c>
      <c r="I81" s="43">
        <f>KA!O81</f>
        <v>0</v>
      </c>
      <c r="J81" s="43">
        <f>KA!P81</f>
        <v>0</v>
      </c>
      <c r="K81" s="43">
        <f>KA!Q81</f>
        <v>0</v>
      </c>
      <c r="L81" s="43">
        <f>KA!R81</f>
        <v>653616</v>
      </c>
      <c r="N81" s="37" t="s">
        <v>243</v>
      </c>
      <c r="O81" s="44">
        <v>725</v>
      </c>
      <c r="Q81" s="68">
        <f>VLOOKUP(N81,'SD with Cr bal'!$D$3:$E$99,2,0)</f>
        <v>10399</v>
      </c>
      <c r="R81">
        <f>Q81-GETPIVOTDATA("Pending Bills",$N$1,"Particulars","Laxmi Sai Breeding Farms Pvt Ltd")</f>
        <v>9674</v>
      </c>
    </row>
    <row r="82" spans="1:18" x14ac:dyDescent="0.25">
      <c r="A82" s="35" t="str">
        <f>KA!G82</f>
        <v>Direct - Inactive</v>
      </c>
      <c r="B82" s="35" t="str">
        <f>KA!H82</f>
        <v>S.B.Agencies</v>
      </c>
      <c r="C82" s="43">
        <f>KA!I82</f>
        <v>1304929</v>
      </c>
      <c r="D82" s="43">
        <f>KA!J82</f>
        <v>0</v>
      </c>
      <c r="E82" s="43">
        <f>KA!K82</f>
        <v>0</v>
      </c>
      <c r="F82" s="43">
        <f>KA!L82</f>
        <v>0</v>
      </c>
      <c r="G82" s="43">
        <f>KA!M82</f>
        <v>0</v>
      </c>
      <c r="H82" s="43">
        <f>KA!N82</f>
        <v>0</v>
      </c>
      <c r="I82" s="43">
        <f>KA!O82</f>
        <v>0</v>
      </c>
      <c r="J82" s="43">
        <f>KA!P82</f>
        <v>0</v>
      </c>
      <c r="K82" s="43">
        <f>KA!Q82</f>
        <v>0</v>
      </c>
      <c r="L82" s="43">
        <f>KA!R82</f>
        <v>1304929</v>
      </c>
      <c r="N82" s="37" t="s">
        <v>227</v>
      </c>
      <c r="O82" s="44">
        <v>5607262.1500000004</v>
      </c>
      <c r="Q82" s="12">
        <f>VLOOKUP(N82,'SD with Cr bal'!$D$3:$E$99,2,0)</f>
        <v>135000</v>
      </c>
      <c r="R82">
        <f>Q82-GETPIVOTDATA("Pending Bills",$N$1,"Particulars","Lotus Enterprises")</f>
        <v>-5472262.1500000004</v>
      </c>
    </row>
    <row r="83" spans="1:18" x14ac:dyDescent="0.25">
      <c r="A83" s="35" t="str">
        <f>KA!G83</f>
        <v>Direct - Inactive</v>
      </c>
      <c r="B83" s="35" t="str">
        <f>KA!H83</f>
        <v>Shashi Poultry Farm</v>
      </c>
      <c r="C83" s="43">
        <f>KA!I83</f>
        <v>874075</v>
      </c>
      <c r="D83" s="43">
        <f>KA!J83</f>
        <v>0</v>
      </c>
      <c r="E83" s="43">
        <f>KA!K83</f>
        <v>0</v>
      </c>
      <c r="F83" s="43">
        <f>KA!L83</f>
        <v>0</v>
      </c>
      <c r="G83" s="43">
        <f>KA!M83</f>
        <v>0</v>
      </c>
      <c r="H83" s="43">
        <f>KA!N83</f>
        <v>0</v>
      </c>
      <c r="I83" s="43">
        <f>KA!O83</f>
        <v>0</v>
      </c>
      <c r="J83" s="43">
        <f>KA!P83</f>
        <v>0</v>
      </c>
      <c r="K83" s="43">
        <f>KA!Q83</f>
        <v>0</v>
      </c>
      <c r="L83" s="43">
        <f>KA!R83</f>
        <v>874075</v>
      </c>
      <c r="N83" s="37" t="s">
        <v>265</v>
      </c>
      <c r="O83" s="44">
        <v>1277286.74</v>
      </c>
      <c r="Q83" s="12"/>
    </row>
    <row r="84" spans="1:18" x14ac:dyDescent="0.25">
      <c r="A84" s="35" t="str">
        <f>KA!G84</f>
        <v>Direct - Inactive</v>
      </c>
      <c r="B84" s="35" t="str">
        <f>KA!H84</f>
        <v>Shree Harsha R</v>
      </c>
      <c r="C84" s="43">
        <f>KA!I84</f>
        <v>18295</v>
      </c>
      <c r="D84" s="43">
        <f>KA!J84</f>
        <v>0</v>
      </c>
      <c r="E84" s="43">
        <f>KA!K84</f>
        <v>0</v>
      </c>
      <c r="F84" s="43">
        <f>KA!L84</f>
        <v>0</v>
      </c>
      <c r="G84" s="43">
        <f>KA!M84</f>
        <v>0</v>
      </c>
      <c r="H84" s="43">
        <f>KA!N84</f>
        <v>0</v>
      </c>
      <c r="I84" s="43">
        <f>KA!O84</f>
        <v>0</v>
      </c>
      <c r="J84" s="43">
        <f>KA!P84</f>
        <v>0</v>
      </c>
      <c r="K84" s="43">
        <f>KA!Q84</f>
        <v>18295</v>
      </c>
      <c r="L84" s="43">
        <f>KA!R84</f>
        <v>0</v>
      </c>
      <c r="N84" s="37" t="s">
        <v>218</v>
      </c>
      <c r="O84" s="44">
        <v>3252785</v>
      </c>
      <c r="Q84" s="12">
        <f>VLOOKUP(N84,'SD with Cr bal'!$D$3:$E$99,2,0)</f>
        <v>72000</v>
      </c>
    </row>
    <row r="85" spans="1:18" x14ac:dyDescent="0.25">
      <c r="A85" s="35" t="str">
        <f>KA!G85</f>
        <v>Direct - Inactive</v>
      </c>
      <c r="B85" s="35" t="str">
        <f>KA!H85</f>
        <v>S K Poultry Farm</v>
      </c>
      <c r="C85" s="43">
        <f>KA!I85</f>
        <v>223000</v>
      </c>
      <c r="D85" s="43">
        <f>KA!J85</f>
        <v>0</v>
      </c>
      <c r="E85" s="43">
        <f>KA!K85</f>
        <v>0</v>
      </c>
      <c r="F85" s="43">
        <f>KA!L85</f>
        <v>0</v>
      </c>
      <c r="G85" s="43">
        <f>KA!M85</f>
        <v>0</v>
      </c>
      <c r="H85" s="43">
        <f>KA!N85</f>
        <v>0</v>
      </c>
      <c r="I85" s="43">
        <f>KA!O85</f>
        <v>0</v>
      </c>
      <c r="J85" s="43">
        <f>KA!P85</f>
        <v>0</v>
      </c>
      <c r="K85" s="43">
        <f>KA!Q85</f>
        <v>0</v>
      </c>
      <c r="L85" s="43">
        <f>KA!R85</f>
        <v>223000</v>
      </c>
      <c r="N85" s="37" t="s">
        <v>267</v>
      </c>
      <c r="O85" s="44">
        <v>480720.83</v>
      </c>
      <c r="Q85" s="12"/>
    </row>
    <row r="86" spans="1:18" x14ac:dyDescent="0.25">
      <c r="A86" s="35" t="str">
        <f>KA!G86</f>
        <v>Direct - Inactive</v>
      </c>
      <c r="B86" s="35" t="str">
        <f>KA!H86</f>
        <v>Spoorthy Poultry Farm</v>
      </c>
      <c r="C86" s="43">
        <f>KA!I86</f>
        <v>840572</v>
      </c>
      <c r="D86" s="43">
        <f>KA!J86</f>
        <v>0</v>
      </c>
      <c r="E86" s="43">
        <f>KA!K86</f>
        <v>0</v>
      </c>
      <c r="F86" s="43">
        <f>KA!L86</f>
        <v>0</v>
      </c>
      <c r="G86" s="43">
        <f>KA!M86</f>
        <v>0</v>
      </c>
      <c r="H86" s="43">
        <f>KA!N86</f>
        <v>0</v>
      </c>
      <c r="I86" s="43">
        <f>KA!O86</f>
        <v>0</v>
      </c>
      <c r="J86" s="43">
        <f>KA!P86</f>
        <v>0</v>
      </c>
      <c r="K86" s="43">
        <f>KA!Q86</f>
        <v>0</v>
      </c>
      <c r="L86" s="43">
        <f>KA!R86</f>
        <v>840572</v>
      </c>
      <c r="N86" s="37" t="s">
        <v>71</v>
      </c>
      <c r="O86" s="44">
        <v>101265</v>
      </c>
      <c r="Q86" s="12"/>
    </row>
    <row r="87" spans="1:18" x14ac:dyDescent="0.25">
      <c r="A87" s="35" t="str">
        <f>KA!G87</f>
        <v>Direct - Inactive</v>
      </c>
      <c r="B87" s="35" t="str">
        <f>KA!H87</f>
        <v>Sri Lakshmi Poultry Farm</v>
      </c>
      <c r="C87" s="43">
        <f>KA!I87</f>
        <v>105900</v>
      </c>
      <c r="D87" s="43">
        <f>KA!J87</f>
        <v>0</v>
      </c>
      <c r="E87" s="43">
        <f>KA!K87</f>
        <v>0</v>
      </c>
      <c r="F87" s="43">
        <f>KA!L87</f>
        <v>0</v>
      </c>
      <c r="G87" s="43">
        <f>KA!M87</f>
        <v>0</v>
      </c>
      <c r="H87" s="43">
        <f>KA!N87</f>
        <v>0</v>
      </c>
      <c r="I87" s="43">
        <f>KA!O87</f>
        <v>0</v>
      </c>
      <c r="J87" s="43">
        <f>KA!P87</f>
        <v>0</v>
      </c>
      <c r="K87" s="43">
        <f>KA!Q87</f>
        <v>0</v>
      </c>
      <c r="L87" s="43">
        <f>KA!R87</f>
        <v>105900</v>
      </c>
      <c r="N87" s="37" t="s">
        <v>229</v>
      </c>
      <c r="O87" s="44">
        <v>60000</v>
      </c>
      <c r="Q87" s="12"/>
    </row>
    <row r="88" spans="1:18" x14ac:dyDescent="0.25">
      <c r="A88" s="35" t="str">
        <f>KA!G88</f>
        <v>Direct - Inactive</v>
      </c>
      <c r="B88" s="35" t="str">
        <f>KA!H88</f>
        <v>Sri Sai Poultry Farm</v>
      </c>
      <c r="C88" s="43">
        <f>KA!I88</f>
        <v>823063</v>
      </c>
      <c r="D88" s="43">
        <f>KA!J88</f>
        <v>0</v>
      </c>
      <c r="E88" s="43">
        <f>KA!K88</f>
        <v>0</v>
      </c>
      <c r="F88" s="43">
        <f>KA!L88</f>
        <v>0</v>
      </c>
      <c r="G88" s="43">
        <f>KA!M88</f>
        <v>0</v>
      </c>
      <c r="H88" s="43">
        <f>KA!N88</f>
        <v>0</v>
      </c>
      <c r="I88" s="43">
        <f>KA!O88</f>
        <v>0</v>
      </c>
      <c r="J88" s="43">
        <f>KA!P88</f>
        <v>0</v>
      </c>
      <c r="K88" s="43">
        <f>KA!Q88</f>
        <v>0</v>
      </c>
      <c r="L88" s="43">
        <f>KA!R88</f>
        <v>823063</v>
      </c>
      <c r="N88" s="37" t="s">
        <v>203</v>
      </c>
      <c r="O88" s="44">
        <v>28200</v>
      </c>
      <c r="Q88" s="12"/>
    </row>
    <row r="89" spans="1:18" x14ac:dyDescent="0.25">
      <c r="A89" s="35" t="str">
        <f>KA!G89</f>
        <v>Direct - Inactive</v>
      </c>
      <c r="B89" s="35" t="str">
        <f>KA!H89</f>
        <v>Sri Sai Ram Poultry Farm</v>
      </c>
      <c r="C89" s="43">
        <f>KA!I89</f>
        <v>786840</v>
      </c>
      <c r="D89" s="43">
        <f>KA!J89</f>
        <v>0</v>
      </c>
      <c r="E89" s="43">
        <f>KA!K89</f>
        <v>0</v>
      </c>
      <c r="F89" s="43">
        <f>KA!L89</f>
        <v>0</v>
      </c>
      <c r="G89" s="43">
        <f>KA!M89</f>
        <v>0</v>
      </c>
      <c r="H89" s="43">
        <f>KA!N89</f>
        <v>0</v>
      </c>
      <c r="I89" s="43">
        <f>KA!O89</f>
        <v>0</v>
      </c>
      <c r="J89" s="43">
        <f>KA!P89</f>
        <v>0</v>
      </c>
      <c r="K89" s="43">
        <f>KA!Q89</f>
        <v>0</v>
      </c>
      <c r="L89" s="43">
        <f>KA!R89</f>
        <v>786840</v>
      </c>
      <c r="N89" s="37" t="s">
        <v>176</v>
      </c>
      <c r="O89" s="44">
        <v>6000</v>
      </c>
      <c r="Q89" s="12"/>
    </row>
    <row r="90" spans="1:18" x14ac:dyDescent="0.25">
      <c r="A90" s="35" t="str">
        <f>KA!G90</f>
        <v>Direct - Inactive</v>
      </c>
      <c r="B90" s="35" t="str">
        <f>KA!H90</f>
        <v>Sri Sharada Gunny Merchents</v>
      </c>
      <c r="C90" s="43">
        <f>KA!I90</f>
        <v>34169.68</v>
      </c>
      <c r="D90" s="43">
        <f>KA!J90</f>
        <v>0</v>
      </c>
      <c r="E90" s="43">
        <f>KA!K90</f>
        <v>0</v>
      </c>
      <c r="F90" s="43">
        <f>KA!L90</f>
        <v>0</v>
      </c>
      <c r="G90" s="43">
        <f>KA!M90</f>
        <v>0</v>
      </c>
      <c r="H90" s="43">
        <f>KA!N90</f>
        <v>0</v>
      </c>
      <c r="I90" s="43">
        <f>KA!O90</f>
        <v>0</v>
      </c>
      <c r="J90" s="43">
        <f>KA!P90</f>
        <v>0</v>
      </c>
      <c r="K90" s="43">
        <f>KA!Q90</f>
        <v>0</v>
      </c>
      <c r="L90" s="43">
        <f>KA!R90</f>
        <v>34169.68</v>
      </c>
      <c r="N90" s="37" t="s">
        <v>69</v>
      </c>
      <c r="O90" s="44">
        <v>76200</v>
      </c>
      <c r="Q90" s="12"/>
    </row>
    <row r="91" spans="1:18" x14ac:dyDescent="0.25">
      <c r="A91" s="35" t="str">
        <f>KA!G91</f>
        <v>Direct - Inactive</v>
      </c>
      <c r="B91" s="35" t="str">
        <f>KA!H91</f>
        <v>Sri Surya Agency</v>
      </c>
      <c r="C91" s="43">
        <f>KA!I91</f>
        <v>92625</v>
      </c>
      <c r="D91" s="43">
        <f>KA!J91</f>
        <v>0</v>
      </c>
      <c r="E91" s="43">
        <f>KA!K91</f>
        <v>0</v>
      </c>
      <c r="F91" s="43">
        <f>KA!L91</f>
        <v>0</v>
      </c>
      <c r="G91" s="43">
        <f>KA!M91</f>
        <v>0</v>
      </c>
      <c r="H91" s="43">
        <f>KA!N91</f>
        <v>0</v>
      </c>
      <c r="I91" s="43">
        <f>KA!O91</f>
        <v>0</v>
      </c>
      <c r="J91" s="43">
        <f>KA!P91</f>
        <v>0</v>
      </c>
      <c r="K91" s="43">
        <f>KA!Q91</f>
        <v>0</v>
      </c>
      <c r="L91" s="43">
        <f>KA!R91</f>
        <v>92625</v>
      </c>
      <c r="N91" s="37" t="s">
        <v>228</v>
      </c>
      <c r="O91" s="44">
        <v>700</v>
      </c>
      <c r="Q91" s="12"/>
    </row>
    <row r="92" spans="1:18" x14ac:dyDescent="0.25">
      <c r="A92" s="35" t="str">
        <f>KA!G92</f>
        <v>Direct - Inactive</v>
      </c>
      <c r="B92" s="35" t="str">
        <f>KA!H92</f>
        <v>Sri Vigneshwara Poultry Services</v>
      </c>
      <c r="C92" s="43">
        <f>KA!I92</f>
        <v>814865</v>
      </c>
      <c r="D92" s="43">
        <f>KA!J92</f>
        <v>0</v>
      </c>
      <c r="E92" s="43">
        <f>KA!K92</f>
        <v>0</v>
      </c>
      <c r="F92" s="43">
        <f>KA!L92</f>
        <v>0</v>
      </c>
      <c r="G92" s="43">
        <f>KA!M92</f>
        <v>0</v>
      </c>
      <c r="H92" s="43">
        <f>KA!N92</f>
        <v>0</v>
      </c>
      <c r="I92" s="43">
        <f>KA!O92</f>
        <v>0</v>
      </c>
      <c r="J92" s="43">
        <f>KA!P92</f>
        <v>0</v>
      </c>
      <c r="K92" s="43">
        <f>KA!Q92</f>
        <v>0</v>
      </c>
      <c r="L92" s="43">
        <f>KA!R92</f>
        <v>814865</v>
      </c>
      <c r="N92" s="37" t="s">
        <v>171</v>
      </c>
      <c r="O92" s="44">
        <v>47736</v>
      </c>
      <c r="Q92" s="12"/>
    </row>
    <row r="93" spans="1:18" x14ac:dyDescent="0.25">
      <c r="A93" s="35" t="str">
        <f>KA!G93</f>
        <v>Direct - Inactive</v>
      </c>
      <c r="B93" s="35" t="str">
        <f>KA!H93</f>
        <v>Sudha Poultry Farm</v>
      </c>
      <c r="C93" s="43">
        <f>KA!I93</f>
        <v>66000</v>
      </c>
      <c r="D93" s="43">
        <f>KA!J93</f>
        <v>0</v>
      </c>
      <c r="E93" s="43">
        <f>KA!K93</f>
        <v>0</v>
      </c>
      <c r="F93" s="43">
        <f>KA!L93</f>
        <v>0</v>
      </c>
      <c r="G93" s="43">
        <f>KA!M93</f>
        <v>0</v>
      </c>
      <c r="H93" s="43">
        <f>KA!N93</f>
        <v>0</v>
      </c>
      <c r="I93" s="43">
        <f>KA!O93</f>
        <v>63900</v>
      </c>
      <c r="J93" s="43">
        <f>KA!P93</f>
        <v>2100</v>
      </c>
      <c r="K93" s="43">
        <f>KA!Q93</f>
        <v>0</v>
      </c>
      <c r="L93" s="43">
        <f>KA!R93</f>
        <v>0</v>
      </c>
      <c r="N93" s="37" t="s">
        <v>172</v>
      </c>
      <c r="O93" s="44">
        <v>40000</v>
      </c>
      <c r="Q93" s="12"/>
    </row>
    <row r="94" spans="1:18" x14ac:dyDescent="0.25">
      <c r="A94" s="35" t="str">
        <f>KA!G94</f>
        <v>Direct - Inactive</v>
      </c>
      <c r="B94" s="35" t="str">
        <f>KA!H94</f>
        <v>Suma Poultry Farm</v>
      </c>
      <c r="C94" s="43">
        <f>KA!I94</f>
        <v>12375</v>
      </c>
      <c r="D94" s="43">
        <f>KA!J94</f>
        <v>0</v>
      </c>
      <c r="E94" s="43">
        <f>KA!K94</f>
        <v>0</v>
      </c>
      <c r="F94" s="43">
        <f>KA!L94</f>
        <v>0</v>
      </c>
      <c r="G94" s="43">
        <f>KA!M94</f>
        <v>0</v>
      </c>
      <c r="H94" s="43">
        <f>KA!N94</f>
        <v>0</v>
      </c>
      <c r="I94" s="43">
        <f>KA!O94</f>
        <v>0</v>
      </c>
      <c r="J94" s="43">
        <f>KA!P94</f>
        <v>0</v>
      </c>
      <c r="K94" s="43">
        <f>KA!Q94</f>
        <v>12375</v>
      </c>
      <c r="L94" s="43">
        <f>KA!R94</f>
        <v>0</v>
      </c>
      <c r="N94" s="37" t="s">
        <v>129</v>
      </c>
      <c r="O94" s="44">
        <v>29400</v>
      </c>
      <c r="Q94" s="12"/>
    </row>
    <row r="95" spans="1:18" x14ac:dyDescent="0.25">
      <c r="A95" s="35" t="str">
        <f>KA!G95</f>
        <v>Direct - Inactive</v>
      </c>
      <c r="B95" s="35" t="str">
        <f>KA!H95</f>
        <v>Sumedha Broiler Farms</v>
      </c>
      <c r="C95" s="43">
        <f>KA!I95</f>
        <v>6510</v>
      </c>
      <c r="D95" s="43">
        <f>KA!J95</f>
        <v>0</v>
      </c>
      <c r="E95" s="43">
        <f>KA!K95</f>
        <v>0</v>
      </c>
      <c r="F95" s="43">
        <f>KA!L95</f>
        <v>0</v>
      </c>
      <c r="G95" s="43">
        <f>KA!M95</f>
        <v>0</v>
      </c>
      <c r="H95" s="43">
        <f>KA!N95</f>
        <v>0</v>
      </c>
      <c r="I95" s="43">
        <f>KA!O95</f>
        <v>0</v>
      </c>
      <c r="J95" s="43">
        <f>KA!P95</f>
        <v>0</v>
      </c>
      <c r="K95" s="43">
        <f>KA!Q95</f>
        <v>0</v>
      </c>
      <c r="L95" s="43">
        <f>KA!R95</f>
        <v>6510</v>
      </c>
      <c r="N95" s="37" t="s">
        <v>248</v>
      </c>
      <c r="O95" s="44">
        <v>198547.20000000001</v>
      </c>
      <c r="Q95" s="12"/>
    </row>
    <row r="96" spans="1:18" x14ac:dyDescent="0.25">
      <c r="A96" s="35" t="str">
        <f>KA!G96</f>
        <v>Direct - Inactive</v>
      </c>
      <c r="B96" s="35" t="str">
        <f>KA!H96</f>
        <v>Sumuka Enterprises</v>
      </c>
      <c r="C96" s="43">
        <f>KA!I96</f>
        <v>1366469</v>
      </c>
      <c r="D96" s="43">
        <f>KA!J96</f>
        <v>0</v>
      </c>
      <c r="E96" s="43">
        <f>KA!K96</f>
        <v>0</v>
      </c>
      <c r="F96" s="43">
        <f>KA!L96</f>
        <v>0</v>
      </c>
      <c r="G96" s="43">
        <f>KA!M96</f>
        <v>0</v>
      </c>
      <c r="H96" s="43">
        <f>KA!N96</f>
        <v>0</v>
      </c>
      <c r="I96" s="43">
        <f>KA!O96</f>
        <v>0</v>
      </c>
      <c r="J96" s="43">
        <f>KA!P96</f>
        <v>0</v>
      </c>
      <c r="K96" s="43">
        <f>KA!Q96</f>
        <v>0</v>
      </c>
      <c r="L96" s="43">
        <f>KA!R96</f>
        <v>1366469</v>
      </c>
      <c r="N96" s="37" t="s">
        <v>216</v>
      </c>
      <c r="O96" s="44">
        <v>5070634</v>
      </c>
      <c r="Q96" s="12"/>
    </row>
    <row r="97" spans="1:17" x14ac:dyDescent="0.25">
      <c r="A97" s="35" t="str">
        <f>KA!G97</f>
        <v>Direct - Inactive</v>
      </c>
      <c r="B97" s="35" t="str">
        <f>KA!H97</f>
        <v>Suraja Poultry Farm</v>
      </c>
      <c r="C97" s="43">
        <f>KA!I97</f>
        <v>30300</v>
      </c>
      <c r="D97" s="43">
        <f>KA!J97</f>
        <v>0</v>
      </c>
      <c r="E97" s="43">
        <f>KA!K97</f>
        <v>0</v>
      </c>
      <c r="F97" s="43">
        <f>KA!L97</f>
        <v>0</v>
      </c>
      <c r="G97" s="43">
        <f>KA!M97</f>
        <v>0</v>
      </c>
      <c r="H97" s="43">
        <f>KA!N97</f>
        <v>0</v>
      </c>
      <c r="I97" s="43">
        <f>KA!O97</f>
        <v>0</v>
      </c>
      <c r="J97" s="43">
        <f>KA!P97</f>
        <v>0</v>
      </c>
      <c r="K97" s="43">
        <f>KA!Q97</f>
        <v>0</v>
      </c>
      <c r="L97" s="43">
        <f>KA!R97</f>
        <v>30300</v>
      </c>
      <c r="N97" s="37" t="s">
        <v>173</v>
      </c>
      <c r="O97" s="44">
        <v>19760</v>
      </c>
      <c r="Q97" s="12"/>
    </row>
    <row r="98" spans="1:17" x14ac:dyDescent="0.25">
      <c r="A98" s="35" t="str">
        <f>KA!G98</f>
        <v>Direct - Inactive</v>
      </c>
      <c r="B98" s="35" t="str">
        <f>KA!H98</f>
        <v>Suresh Poultry Farm - Hallegere</v>
      </c>
      <c r="C98" s="43">
        <f>KA!I98</f>
        <v>10495</v>
      </c>
      <c r="D98" s="43">
        <f>KA!J98</f>
        <v>0</v>
      </c>
      <c r="E98" s="43">
        <f>KA!K98</f>
        <v>0</v>
      </c>
      <c r="F98" s="43">
        <f>KA!L98</f>
        <v>0</v>
      </c>
      <c r="G98" s="43">
        <f>KA!M98</f>
        <v>0</v>
      </c>
      <c r="H98" s="43">
        <f>KA!N98</f>
        <v>0</v>
      </c>
      <c r="I98" s="43">
        <f>KA!O98</f>
        <v>0</v>
      </c>
      <c r="J98" s="43">
        <f>KA!P98</f>
        <v>2580</v>
      </c>
      <c r="K98" s="43">
        <f>KA!Q98</f>
        <v>7915</v>
      </c>
      <c r="L98" s="43">
        <f>KA!R98</f>
        <v>0</v>
      </c>
      <c r="N98" s="37" t="s">
        <v>70</v>
      </c>
      <c r="O98" s="44">
        <v>317430</v>
      </c>
      <c r="Q98" s="12"/>
    </row>
    <row r="99" spans="1:17" x14ac:dyDescent="0.25">
      <c r="A99" s="35" t="str">
        <f>KA!G99</f>
        <v>Direct - Inactive</v>
      </c>
      <c r="B99" s="35" t="str">
        <f>KA!H99</f>
        <v>Thammanna Poultry Feeds</v>
      </c>
      <c r="C99" s="43">
        <f>KA!I99</f>
        <v>349514</v>
      </c>
      <c r="D99" s="43">
        <f>KA!J99</f>
        <v>0</v>
      </c>
      <c r="E99" s="43">
        <f>KA!K99</f>
        <v>0</v>
      </c>
      <c r="F99" s="43">
        <f>KA!L99</f>
        <v>0</v>
      </c>
      <c r="G99" s="43">
        <f>KA!M99</f>
        <v>0</v>
      </c>
      <c r="H99" s="43">
        <f>KA!N99</f>
        <v>0</v>
      </c>
      <c r="I99" s="43">
        <f>KA!O99</f>
        <v>0</v>
      </c>
      <c r="J99" s="43">
        <f>KA!P99</f>
        <v>0</v>
      </c>
      <c r="K99" s="43">
        <f>KA!Q99</f>
        <v>349514</v>
      </c>
      <c r="L99" s="43">
        <f>KA!R99</f>
        <v>0</v>
      </c>
      <c r="N99" s="37" t="s">
        <v>266</v>
      </c>
      <c r="O99" s="44">
        <v>775240.52</v>
      </c>
      <c r="Q99" s="12"/>
    </row>
    <row r="100" spans="1:17" x14ac:dyDescent="0.25">
      <c r="A100" s="35" t="str">
        <f>KA!G100</f>
        <v>Direct - Inactive</v>
      </c>
      <c r="B100" s="35" t="str">
        <f>KA!H100</f>
        <v>Vasavi Poultry Farm</v>
      </c>
      <c r="C100" s="43">
        <f>KA!I100</f>
        <v>2320224</v>
      </c>
      <c r="D100" s="43">
        <f>KA!J100</f>
        <v>0</v>
      </c>
      <c r="E100" s="43">
        <f>KA!K100</f>
        <v>0</v>
      </c>
      <c r="F100" s="43">
        <f>KA!L100</f>
        <v>0</v>
      </c>
      <c r="G100" s="43">
        <f>KA!M100</f>
        <v>0</v>
      </c>
      <c r="H100" s="43">
        <f>KA!N100</f>
        <v>0</v>
      </c>
      <c r="I100" s="43">
        <f>KA!O100</f>
        <v>0</v>
      </c>
      <c r="J100" s="43">
        <f>KA!P100</f>
        <v>0</v>
      </c>
      <c r="K100" s="43">
        <f>KA!Q100</f>
        <v>0</v>
      </c>
      <c r="L100" s="43">
        <f>KA!R100</f>
        <v>2320224</v>
      </c>
      <c r="N100" s="37" t="s">
        <v>217</v>
      </c>
      <c r="O100" s="44">
        <v>96900</v>
      </c>
      <c r="Q100" s="12"/>
    </row>
    <row r="101" spans="1:17" x14ac:dyDescent="0.25">
      <c r="A101" s="35" t="str">
        <f>KA!G101</f>
        <v>Direct - Inactive</v>
      </c>
      <c r="B101" s="35" t="str">
        <f>KA!H101</f>
        <v>Venkateshwara Poultry Farm, Koppa</v>
      </c>
      <c r="C101" s="43">
        <f>KA!I101</f>
        <v>140880</v>
      </c>
      <c r="D101" s="43">
        <f>KA!J101</f>
        <v>0</v>
      </c>
      <c r="E101" s="43">
        <f>KA!K101</f>
        <v>0</v>
      </c>
      <c r="F101" s="43">
        <f>KA!L101</f>
        <v>0</v>
      </c>
      <c r="G101" s="43">
        <f>KA!M101</f>
        <v>0</v>
      </c>
      <c r="H101" s="43">
        <f>KA!N101</f>
        <v>0</v>
      </c>
      <c r="I101" s="43">
        <f>KA!O101</f>
        <v>0</v>
      </c>
      <c r="J101" s="43">
        <f>KA!P101</f>
        <v>0</v>
      </c>
      <c r="K101" s="43">
        <f>KA!Q101</f>
        <v>0</v>
      </c>
      <c r="L101" s="43">
        <f>KA!R101</f>
        <v>140880</v>
      </c>
      <c r="N101" s="37" t="s">
        <v>174</v>
      </c>
      <c r="O101" s="44">
        <v>734485</v>
      </c>
      <c r="Q101" s="12"/>
    </row>
    <row r="102" spans="1:17" x14ac:dyDescent="0.25">
      <c r="A102" s="35" t="str">
        <f>KA!G102</f>
        <v>Direct - Inactive</v>
      </c>
      <c r="B102" s="35" t="str">
        <f>KA!H102</f>
        <v>Veterinary Collage</v>
      </c>
      <c r="C102" s="43">
        <f>KA!I102</f>
        <v>1550</v>
      </c>
      <c r="D102" s="43">
        <f>KA!J102</f>
        <v>0</v>
      </c>
      <c r="E102" s="43">
        <f>KA!K102</f>
        <v>0</v>
      </c>
      <c r="F102" s="43">
        <f>KA!L102</f>
        <v>0</v>
      </c>
      <c r="G102" s="43">
        <f>KA!M102</f>
        <v>0</v>
      </c>
      <c r="H102" s="43">
        <f>KA!N102</f>
        <v>0</v>
      </c>
      <c r="I102" s="43">
        <f>KA!O102</f>
        <v>0</v>
      </c>
      <c r="J102" s="43">
        <f>KA!P102</f>
        <v>0</v>
      </c>
      <c r="K102" s="43">
        <f>KA!Q102</f>
        <v>1550</v>
      </c>
      <c r="L102" s="43">
        <f>KA!R102</f>
        <v>0</v>
      </c>
      <c r="N102" s="37" t="s">
        <v>175</v>
      </c>
      <c r="O102" s="44">
        <v>945500</v>
      </c>
      <c r="Q102" s="12"/>
    </row>
    <row r="103" spans="1:17" x14ac:dyDescent="0.25">
      <c r="A103" s="35" t="str">
        <f>KA!G103</f>
        <v>Mahendra</v>
      </c>
      <c r="B103" s="35" t="str">
        <f>KA!H103</f>
        <v>SLV Poultry Farm</v>
      </c>
      <c r="C103" s="43">
        <f>KA!I103</f>
        <v>5950</v>
      </c>
      <c r="D103" s="43">
        <f>KA!J103</f>
        <v>0</v>
      </c>
      <c r="E103" s="43">
        <f>KA!K103</f>
        <v>5950</v>
      </c>
      <c r="F103" s="43">
        <f>KA!L103</f>
        <v>0</v>
      </c>
      <c r="G103" s="43">
        <f>KA!M103</f>
        <v>0</v>
      </c>
      <c r="H103" s="43">
        <f>KA!N103</f>
        <v>0</v>
      </c>
      <c r="I103" s="43">
        <f>KA!O103</f>
        <v>0</v>
      </c>
      <c r="J103" s="43">
        <f>KA!P103</f>
        <v>0</v>
      </c>
      <c r="K103" s="43">
        <f>KA!Q103</f>
        <v>0</v>
      </c>
      <c r="L103" s="43">
        <f>KA!R103</f>
        <v>0</v>
      </c>
      <c r="N103" s="37" t="s">
        <v>72</v>
      </c>
      <c r="O103" s="44">
        <v>4000</v>
      </c>
      <c r="Q103" s="12"/>
    </row>
    <row r="104" spans="1:17" x14ac:dyDescent="0.25">
      <c r="A104" s="35" t="str">
        <f>KA!G104</f>
        <v>Prabhakar</v>
      </c>
      <c r="B104" s="35" t="str">
        <f>KA!H104</f>
        <v>KPR Agros Poultries Pvt Ltd</v>
      </c>
      <c r="C104" s="43">
        <f>KA!I104</f>
        <v>6650</v>
      </c>
      <c r="D104" s="43">
        <f>KA!J104</f>
        <v>0</v>
      </c>
      <c r="E104" s="43">
        <f>KA!K104</f>
        <v>0</v>
      </c>
      <c r="F104" s="43">
        <f>KA!L104</f>
        <v>0</v>
      </c>
      <c r="G104" s="43">
        <f>KA!M104</f>
        <v>0</v>
      </c>
      <c r="H104" s="43">
        <f>KA!N104</f>
        <v>0</v>
      </c>
      <c r="I104" s="43">
        <f>KA!O104</f>
        <v>0</v>
      </c>
      <c r="J104" s="43">
        <f>KA!P104</f>
        <v>0</v>
      </c>
      <c r="K104" s="43">
        <f>KA!Q104</f>
        <v>0</v>
      </c>
      <c r="L104" s="43">
        <f>KA!R104</f>
        <v>6650</v>
      </c>
      <c r="N104" s="37" t="s">
        <v>19</v>
      </c>
      <c r="O104" s="44">
        <v>55445</v>
      </c>
      <c r="Q104" s="12"/>
    </row>
    <row r="105" spans="1:17" x14ac:dyDescent="0.25">
      <c r="A105" s="35" t="str">
        <f>KA!G105</f>
        <v>Prabhakar</v>
      </c>
      <c r="B105" s="35" t="str">
        <f>KA!H105</f>
        <v>Sree Sai Poultry Farm</v>
      </c>
      <c r="C105" s="43">
        <f>KA!I105</f>
        <v>436800</v>
      </c>
      <c r="D105" s="43">
        <f>KA!J105</f>
        <v>0</v>
      </c>
      <c r="E105" s="43">
        <f>KA!K105</f>
        <v>0</v>
      </c>
      <c r="F105" s="43">
        <f>KA!L105</f>
        <v>0</v>
      </c>
      <c r="G105" s="43">
        <f>KA!M105</f>
        <v>0</v>
      </c>
      <c r="H105" s="43">
        <f>KA!N105</f>
        <v>0</v>
      </c>
      <c r="I105" s="43">
        <f>KA!O105</f>
        <v>0</v>
      </c>
      <c r="J105" s="43">
        <f>KA!P105</f>
        <v>0</v>
      </c>
      <c r="K105" s="43">
        <f>KA!Q105</f>
        <v>0</v>
      </c>
      <c r="L105" s="43">
        <f>KA!R105</f>
        <v>436800</v>
      </c>
      <c r="N105" s="37" t="s">
        <v>268</v>
      </c>
      <c r="O105" s="44">
        <v>234437</v>
      </c>
      <c r="Q105" s="12"/>
    </row>
    <row r="106" spans="1:17" x14ac:dyDescent="0.25">
      <c r="A106" s="35" t="str">
        <f>KA!G109</f>
        <v>Direct - Active</v>
      </c>
      <c r="B106" s="35" t="str">
        <f>KA!H109</f>
        <v>Aavion Enterprises Drs</v>
      </c>
      <c r="C106" s="43">
        <f>KA!I109</f>
        <v>59400</v>
      </c>
      <c r="D106" s="43">
        <f>KA!J109</f>
        <v>0</v>
      </c>
      <c r="E106" s="43">
        <f>KA!K109</f>
        <v>0</v>
      </c>
      <c r="F106" s="43">
        <f>KA!L109</f>
        <v>45000</v>
      </c>
      <c r="G106" s="43">
        <f>KA!M109</f>
        <v>14400</v>
      </c>
      <c r="H106" s="43">
        <f>KA!N109</f>
        <v>0</v>
      </c>
      <c r="I106" s="43">
        <f>KA!O109</f>
        <v>0</v>
      </c>
      <c r="J106" s="43">
        <f>KA!P109</f>
        <v>0</v>
      </c>
      <c r="K106" s="43">
        <f>KA!Q109</f>
        <v>0</v>
      </c>
      <c r="L106" s="43">
        <f>KA!R109</f>
        <v>0</v>
      </c>
      <c r="N106" s="37" t="s">
        <v>73</v>
      </c>
      <c r="O106" s="44">
        <v>496253</v>
      </c>
      <c r="Q106" s="12"/>
    </row>
    <row r="107" spans="1:17" x14ac:dyDescent="0.25">
      <c r="A107" s="35" t="str">
        <f>KA!G110</f>
        <v>Direct - Active</v>
      </c>
      <c r="B107" s="35" t="str">
        <f>KA!H110</f>
        <v>CNC Poultry Farms &amp; Feeds</v>
      </c>
      <c r="C107" s="43">
        <f>KA!I110</f>
        <v>133500</v>
      </c>
      <c r="D107" s="43">
        <f>KA!J110</f>
        <v>133500</v>
      </c>
      <c r="E107" s="43">
        <f>KA!K110</f>
        <v>0</v>
      </c>
      <c r="F107" s="43">
        <f>KA!L110</f>
        <v>0</v>
      </c>
      <c r="G107" s="43">
        <f>KA!M110</f>
        <v>0</v>
      </c>
      <c r="H107" s="43">
        <f>KA!N110</f>
        <v>0</v>
      </c>
      <c r="I107" s="43">
        <f>KA!O110</f>
        <v>0</v>
      </c>
      <c r="J107" s="43">
        <f>KA!P110</f>
        <v>0</v>
      </c>
      <c r="K107" s="43">
        <f>KA!Q110</f>
        <v>0</v>
      </c>
      <c r="L107" s="43">
        <f>KA!R110</f>
        <v>0</v>
      </c>
      <c r="N107" s="37" t="s">
        <v>20</v>
      </c>
      <c r="O107" s="44">
        <v>3950</v>
      </c>
      <c r="Q107" s="12"/>
    </row>
    <row r="108" spans="1:17" x14ac:dyDescent="0.25">
      <c r="A108" s="35" t="str">
        <f>KA!G111</f>
        <v>Direct - Active</v>
      </c>
      <c r="B108" s="35" t="str">
        <f>KA!H111</f>
        <v>Happy Feed &amp; Farms LLP</v>
      </c>
      <c r="C108" s="43">
        <f>KA!I111</f>
        <v>21500</v>
      </c>
      <c r="D108" s="43">
        <f>KA!J111</f>
        <v>0</v>
      </c>
      <c r="E108" s="43">
        <f>KA!K111</f>
        <v>0</v>
      </c>
      <c r="F108" s="43">
        <f>KA!L111</f>
        <v>0</v>
      </c>
      <c r="G108" s="43">
        <f>KA!M111</f>
        <v>0</v>
      </c>
      <c r="H108" s="43">
        <f>KA!N111</f>
        <v>0</v>
      </c>
      <c r="I108" s="43">
        <f>KA!O111</f>
        <v>21500</v>
      </c>
      <c r="J108" s="43">
        <f>KA!P111</f>
        <v>0</v>
      </c>
      <c r="K108" s="43">
        <f>KA!Q111</f>
        <v>0</v>
      </c>
      <c r="L108" s="43">
        <f>KA!R111</f>
        <v>0</v>
      </c>
      <c r="N108" s="37" t="s">
        <v>74</v>
      </c>
      <c r="O108" s="44">
        <v>2610248</v>
      </c>
      <c r="Q108" s="12"/>
    </row>
    <row r="109" spans="1:17" x14ac:dyDescent="0.25">
      <c r="A109" s="35" t="str">
        <f>KA!G112</f>
        <v>Direct - Active</v>
      </c>
      <c r="B109" s="35" t="str">
        <f>KA!H112</f>
        <v>Kabbalamma Poultry Farm</v>
      </c>
      <c r="C109" s="43">
        <f>KA!I112</f>
        <v>92049</v>
      </c>
      <c r="D109" s="43">
        <f>KA!J112</f>
        <v>68250</v>
      </c>
      <c r="E109" s="43">
        <f>KA!K112</f>
        <v>0</v>
      </c>
      <c r="F109" s="43">
        <f>KA!L112</f>
        <v>0</v>
      </c>
      <c r="G109" s="43">
        <f>KA!M112</f>
        <v>23799</v>
      </c>
      <c r="H109" s="43">
        <f>KA!N112</f>
        <v>0</v>
      </c>
      <c r="I109" s="43">
        <f>KA!O112</f>
        <v>0</v>
      </c>
      <c r="J109" s="43">
        <f>KA!P112</f>
        <v>0</v>
      </c>
      <c r="K109" s="43">
        <f>KA!Q112</f>
        <v>0</v>
      </c>
      <c r="L109" s="43">
        <f>KA!R112</f>
        <v>0</v>
      </c>
      <c r="N109" s="37" t="s">
        <v>230</v>
      </c>
      <c r="O109" s="44">
        <v>5200</v>
      </c>
      <c r="Q109" s="12"/>
    </row>
    <row r="110" spans="1:17" x14ac:dyDescent="0.25">
      <c r="A110" s="35" t="str">
        <f>KA!G113</f>
        <v>Direct - Active</v>
      </c>
      <c r="B110" s="35" t="str">
        <f>KA!H113</f>
        <v>Maruthi Poultry Farm</v>
      </c>
      <c r="C110" s="43">
        <f>KA!I113</f>
        <v>29400</v>
      </c>
      <c r="D110" s="43">
        <f>KA!J113</f>
        <v>29400</v>
      </c>
      <c r="E110" s="43">
        <f>KA!K113</f>
        <v>0</v>
      </c>
      <c r="F110" s="43">
        <f>KA!L113</f>
        <v>0</v>
      </c>
      <c r="G110" s="43">
        <f>KA!M113</f>
        <v>0</v>
      </c>
      <c r="H110" s="43">
        <f>KA!N113</f>
        <v>0</v>
      </c>
      <c r="I110" s="43">
        <f>KA!O113</f>
        <v>0</v>
      </c>
      <c r="J110" s="43">
        <f>KA!P113</f>
        <v>0</v>
      </c>
      <c r="K110" s="43">
        <f>KA!Q113</f>
        <v>0</v>
      </c>
      <c r="L110" s="43">
        <f>KA!R113</f>
        <v>0</v>
      </c>
      <c r="N110" s="37" t="s">
        <v>75</v>
      </c>
      <c r="O110" s="44">
        <v>528500</v>
      </c>
      <c r="Q110" s="12"/>
    </row>
    <row r="111" spans="1:17" x14ac:dyDescent="0.25">
      <c r="A111" s="35" t="str">
        <f>KA!G114</f>
        <v>Direct - Active</v>
      </c>
      <c r="B111" s="35" t="str">
        <f>KA!H114</f>
        <v>Raghavendra Enterprises</v>
      </c>
      <c r="C111" s="43">
        <f>KA!I114</f>
        <v>842606</v>
      </c>
      <c r="D111" s="43">
        <f>KA!J114</f>
        <v>0</v>
      </c>
      <c r="E111" s="43">
        <f>KA!K114</f>
        <v>842606</v>
      </c>
      <c r="F111" s="43">
        <f>KA!L114</f>
        <v>0</v>
      </c>
      <c r="G111" s="43">
        <f>KA!M114</f>
        <v>0</v>
      </c>
      <c r="H111" s="43">
        <f>KA!N114</f>
        <v>0</v>
      </c>
      <c r="I111" s="43">
        <f>KA!O114</f>
        <v>0</v>
      </c>
      <c r="J111" s="43">
        <f>KA!P114</f>
        <v>0</v>
      </c>
      <c r="K111" s="43">
        <f>KA!Q114</f>
        <v>0</v>
      </c>
      <c r="L111" s="43">
        <f>KA!R114</f>
        <v>0</v>
      </c>
      <c r="N111" s="37" t="s">
        <v>135</v>
      </c>
      <c r="O111" s="44">
        <v>138888</v>
      </c>
      <c r="Q111" s="12"/>
    </row>
    <row r="112" spans="1:17" x14ac:dyDescent="0.25">
      <c r="A112" s="35" t="str">
        <f>KA!G115</f>
        <v>Direct - Active</v>
      </c>
      <c r="B112" s="35" t="str">
        <f>KA!H115</f>
        <v>Srinivasa Poultry Farm-Nandi Cross</v>
      </c>
      <c r="C112" s="43">
        <f>KA!I115</f>
        <v>24151</v>
      </c>
      <c r="D112" s="43">
        <f>KA!J115</f>
        <v>0</v>
      </c>
      <c r="E112" s="43">
        <f>KA!K115</f>
        <v>0</v>
      </c>
      <c r="F112" s="43">
        <f>KA!L115</f>
        <v>0</v>
      </c>
      <c r="G112" s="43">
        <f>KA!M115</f>
        <v>24151</v>
      </c>
      <c r="H112" s="43">
        <f>KA!N115</f>
        <v>0</v>
      </c>
      <c r="I112" s="43">
        <f>KA!O115</f>
        <v>0</v>
      </c>
      <c r="J112" s="43">
        <f>KA!P115</f>
        <v>0</v>
      </c>
      <c r="K112" s="43">
        <f>KA!Q115</f>
        <v>0</v>
      </c>
      <c r="L112" s="43">
        <f>KA!R115</f>
        <v>0</v>
      </c>
      <c r="N112" s="37" t="s">
        <v>76</v>
      </c>
      <c r="O112" s="44">
        <v>688177</v>
      </c>
      <c r="Q112" s="12"/>
    </row>
    <row r="113" spans="1:17" x14ac:dyDescent="0.25">
      <c r="A113" s="35" t="str">
        <f>KA!G116</f>
        <v>Direct - Active</v>
      </c>
      <c r="B113" s="35" t="str">
        <f>KA!H116</f>
        <v>Sumedha Broiler Farms</v>
      </c>
      <c r="C113" s="43">
        <f>KA!I116</f>
        <v>1000</v>
      </c>
      <c r="D113" s="43">
        <f>KA!J116</f>
        <v>1000</v>
      </c>
      <c r="E113" s="43">
        <f>KA!K116</f>
        <v>0</v>
      </c>
      <c r="F113" s="43">
        <f>KA!L116</f>
        <v>0</v>
      </c>
      <c r="G113" s="43">
        <f>KA!M116</f>
        <v>0</v>
      </c>
      <c r="H113" s="43">
        <f>KA!N116</f>
        <v>0</v>
      </c>
      <c r="I113" s="43">
        <f>KA!O116</f>
        <v>0</v>
      </c>
      <c r="J113" s="43">
        <f>KA!P116</f>
        <v>0</v>
      </c>
      <c r="K113" s="43">
        <f>KA!Q116</f>
        <v>0</v>
      </c>
      <c r="L113" s="43">
        <f>KA!R116</f>
        <v>0</v>
      </c>
      <c r="N113" s="37" t="s">
        <v>77</v>
      </c>
      <c r="O113" s="44">
        <v>23175</v>
      </c>
      <c r="Q113" s="12"/>
    </row>
    <row r="114" spans="1:17" x14ac:dyDescent="0.25">
      <c r="A114" s="35" t="str">
        <f>KA!G117</f>
        <v>Direct - Inactive</v>
      </c>
      <c r="B114" s="35" t="str">
        <f>KA!H117</f>
        <v>Ajwa Poultry Feed</v>
      </c>
      <c r="C114" s="43">
        <f>KA!I117</f>
        <v>121200</v>
      </c>
      <c r="D114" s="43">
        <f>KA!J117</f>
        <v>0</v>
      </c>
      <c r="E114" s="43">
        <f>KA!K117</f>
        <v>0</v>
      </c>
      <c r="F114" s="43">
        <f>KA!L117</f>
        <v>0</v>
      </c>
      <c r="G114" s="43">
        <f>KA!M117</f>
        <v>0</v>
      </c>
      <c r="H114" s="43">
        <f>KA!N117</f>
        <v>0</v>
      </c>
      <c r="I114" s="43">
        <f>KA!O117</f>
        <v>121200</v>
      </c>
      <c r="J114" s="43">
        <f>KA!P117</f>
        <v>0</v>
      </c>
      <c r="K114" s="43">
        <f>KA!Q117</f>
        <v>0</v>
      </c>
      <c r="L114" s="43">
        <f>KA!R117</f>
        <v>0</v>
      </c>
      <c r="N114" s="37" t="s">
        <v>269</v>
      </c>
      <c r="O114" s="44">
        <v>891238.03</v>
      </c>
      <c r="Q114" s="12"/>
    </row>
    <row r="115" spans="1:17" x14ac:dyDescent="0.25">
      <c r="A115" s="35" t="str">
        <f>KA!G118</f>
        <v>Direct - Inactive</v>
      </c>
      <c r="B115" s="35" t="str">
        <f>KA!H118</f>
        <v>Annapoorna Poultry Farm</v>
      </c>
      <c r="C115" s="43">
        <f>KA!I118</f>
        <v>32650</v>
      </c>
      <c r="D115" s="43">
        <f>KA!J118</f>
        <v>0</v>
      </c>
      <c r="E115" s="43">
        <f>KA!K118</f>
        <v>0</v>
      </c>
      <c r="F115" s="43">
        <f>KA!L118</f>
        <v>0</v>
      </c>
      <c r="G115" s="43">
        <f>KA!M118</f>
        <v>0</v>
      </c>
      <c r="H115" s="43">
        <f>KA!N118</f>
        <v>0</v>
      </c>
      <c r="I115" s="43">
        <f>KA!O118</f>
        <v>0</v>
      </c>
      <c r="J115" s="43">
        <f>KA!P118</f>
        <v>0</v>
      </c>
      <c r="K115" s="43">
        <f>KA!Q118</f>
        <v>0</v>
      </c>
      <c r="L115" s="43">
        <f>KA!R118</f>
        <v>32650</v>
      </c>
      <c r="N115" s="37" t="s">
        <v>231</v>
      </c>
      <c r="O115" s="44">
        <v>65500</v>
      </c>
      <c r="Q115" s="12"/>
    </row>
    <row r="116" spans="1:17" x14ac:dyDescent="0.25">
      <c r="A116" s="35" t="str">
        <f>KA!G119</f>
        <v>Direct - Inactive</v>
      </c>
      <c r="B116" s="35" t="str">
        <f>KA!H119</f>
        <v>Krishna Poultry Farms, CPT</v>
      </c>
      <c r="C116" s="43">
        <f>KA!I119</f>
        <v>94800</v>
      </c>
      <c r="D116" s="43">
        <f>KA!J119</f>
        <v>0</v>
      </c>
      <c r="E116" s="43">
        <f>KA!K119</f>
        <v>0</v>
      </c>
      <c r="F116" s="43">
        <f>KA!L119</f>
        <v>0</v>
      </c>
      <c r="G116" s="43">
        <f>KA!M119</f>
        <v>0</v>
      </c>
      <c r="H116" s="43">
        <f>KA!N119</f>
        <v>0</v>
      </c>
      <c r="I116" s="43">
        <f>KA!O119</f>
        <v>0</v>
      </c>
      <c r="J116" s="43">
        <f>KA!P119</f>
        <v>0</v>
      </c>
      <c r="K116" s="43">
        <f>KA!Q119</f>
        <v>0</v>
      </c>
      <c r="L116" s="43">
        <f>KA!R119</f>
        <v>94800</v>
      </c>
      <c r="N116" s="37" t="s">
        <v>223</v>
      </c>
      <c r="O116" s="44">
        <v>14565</v>
      </c>
      <c r="Q116" s="12">
        <f>VLOOKUP(N116,'SD with Cr bal'!$D$3:$E$99,2,0)</f>
        <v>25</v>
      </c>
    </row>
    <row r="117" spans="1:17" x14ac:dyDescent="0.25">
      <c r="A117" s="35" t="str">
        <f>KA!G120</f>
        <v>Direct - Inactive</v>
      </c>
      <c r="B117" s="35" t="str">
        <f>KA!H120</f>
        <v>Nimishamba Poultry Farm</v>
      </c>
      <c r="C117" s="43">
        <f>KA!I120</f>
        <v>138888</v>
      </c>
      <c r="D117" s="43">
        <f>KA!J120</f>
        <v>0</v>
      </c>
      <c r="E117" s="43">
        <f>KA!K120</f>
        <v>0</v>
      </c>
      <c r="F117" s="43">
        <f>KA!L120</f>
        <v>0</v>
      </c>
      <c r="G117" s="43">
        <f>KA!M120</f>
        <v>0</v>
      </c>
      <c r="H117" s="43">
        <f>KA!N120</f>
        <v>0</v>
      </c>
      <c r="I117" s="43">
        <f>KA!O120</f>
        <v>0</v>
      </c>
      <c r="J117" s="43">
        <f>KA!P120</f>
        <v>138888</v>
      </c>
      <c r="K117" s="43">
        <f>KA!Q120</f>
        <v>0</v>
      </c>
      <c r="L117" s="43">
        <f>KA!R120</f>
        <v>0</v>
      </c>
      <c r="N117" s="37" t="s">
        <v>177</v>
      </c>
      <c r="O117" s="44">
        <v>128860</v>
      </c>
      <c r="Q117" s="12"/>
    </row>
    <row r="118" spans="1:17" x14ac:dyDescent="0.25">
      <c r="A118" s="35" t="str">
        <f>KA!G121</f>
        <v>Direct - Inactive</v>
      </c>
      <c r="B118" s="35" t="str">
        <f>KA!H121</f>
        <v>Poonacha PB</v>
      </c>
      <c r="C118" s="43">
        <f>KA!I121</f>
        <v>1700</v>
      </c>
      <c r="D118" s="43">
        <f>KA!J121</f>
        <v>0</v>
      </c>
      <c r="E118" s="43">
        <f>KA!K121</f>
        <v>0</v>
      </c>
      <c r="F118" s="43">
        <f>KA!L121</f>
        <v>0</v>
      </c>
      <c r="G118" s="43">
        <f>KA!M121</f>
        <v>0</v>
      </c>
      <c r="H118" s="43">
        <f>KA!N121</f>
        <v>0</v>
      </c>
      <c r="I118" s="43">
        <f>KA!O121</f>
        <v>0</v>
      </c>
      <c r="J118" s="43">
        <f>KA!P121</f>
        <v>0</v>
      </c>
      <c r="K118" s="43">
        <f>KA!Q121</f>
        <v>1700</v>
      </c>
      <c r="L118" s="43">
        <f>KA!R121</f>
        <v>0</v>
      </c>
      <c r="N118" s="37" t="s">
        <v>21</v>
      </c>
      <c r="O118" s="44">
        <v>33000</v>
      </c>
      <c r="Q118" s="12"/>
    </row>
    <row r="119" spans="1:17" x14ac:dyDescent="0.25">
      <c r="A119" s="35" t="str">
        <f>KA!G122</f>
        <v>Direct - Inactive</v>
      </c>
      <c r="B119" s="35" t="str">
        <f>KA!H122</f>
        <v>Premier Distributors</v>
      </c>
      <c r="C119" s="43">
        <f>KA!I122</f>
        <v>455999</v>
      </c>
      <c r="D119" s="43">
        <f>KA!J122</f>
        <v>0</v>
      </c>
      <c r="E119" s="43">
        <f>KA!K122</f>
        <v>0</v>
      </c>
      <c r="F119" s="43">
        <f>KA!L122</f>
        <v>0</v>
      </c>
      <c r="G119" s="43">
        <f>KA!M122</f>
        <v>0</v>
      </c>
      <c r="H119" s="43">
        <f>KA!N122</f>
        <v>0</v>
      </c>
      <c r="I119" s="43">
        <f>KA!O122</f>
        <v>0</v>
      </c>
      <c r="J119" s="43">
        <f>KA!P122</f>
        <v>0</v>
      </c>
      <c r="K119" s="43">
        <f>KA!Q122</f>
        <v>0</v>
      </c>
      <c r="L119" s="43">
        <f>KA!R122</f>
        <v>455999</v>
      </c>
      <c r="N119" s="37" t="s">
        <v>270</v>
      </c>
      <c r="O119" s="44">
        <v>613527.79</v>
      </c>
      <c r="Q119" s="12"/>
    </row>
    <row r="120" spans="1:17" x14ac:dyDescent="0.25">
      <c r="A120" s="35" t="str">
        <f>KA!G123</f>
        <v>Direct - Inactive</v>
      </c>
      <c r="B120" s="35" t="str">
        <f>KA!H123</f>
        <v>Principal Investigator, Poultry Science</v>
      </c>
      <c r="C120" s="43">
        <f>KA!I123</f>
        <v>66297</v>
      </c>
      <c r="D120" s="43">
        <f>KA!J123</f>
        <v>0</v>
      </c>
      <c r="E120" s="43">
        <f>KA!K123</f>
        <v>0</v>
      </c>
      <c r="F120" s="43">
        <f>KA!L123</f>
        <v>0</v>
      </c>
      <c r="G120" s="43">
        <f>KA!M123</f>
        <v>0</v>
      </c>
      <c r="H120" s="43">
        <f>KA!N123</f>
        <v>0</v>
      </c>
      <c r="I120" s="43">
        <f>KA!O123</f>
        <v>0</v>
      </c>
      <c r="J120" s="43">
        <f>KA!P123</f>
        <v>0</v>
      </c>
      <c r="K120" s="43">
        <f>KA!Q123</f>
        <v>0</v>
      </c>
      <c r="L120" s="43">
        <f>KA!R123</f>
        <v>66297</v>
      </c>
      <c r="N120" s="37" t="s">
        <v>78</v>
      </c>
      <c r="O120" s="44">
        <v>47200</v>
      </c>
      <c r="Q120" s="12"/>
    </row>
    <row r="121" spans="1:17" x14ac:dyDescent="0.25">
      <c r="A121" s="35" t="str">
        <f>KA!G124</f>
        <v>Direct - Inactive</v>
      </c>
      <c r="B121" s="35" t="str">
        <f>KA!H124</f>
        <v>Renuka Feeds</v>
      </c>
      <c r="C121" s="43">
        <f>KA!I124</f>
        <v>347500</v>
      </c>
      <c r="D121" s="43">
        <f>KA!J124</f>
        <v>0</v>
      </c>
      <c r="E121" s="43">
        <f>KA!K124</f>
        <v>0</v>
      </c>
      <c r="F121" s="43">
        <f>KA!L124</f>
        <v>0</v>
      </c>
      <c r="G121" s="43">
        <f>KA!M124</f>
        <v>0</v>
      </c>
      <c r="H121" s="43">
        <f>KA!N124</f>
        <v>0</v>
      </c>
      <c r="I121" s="43">
        <f>KA!O124</f>
        <v>0</v>
      </c>
      <c r="J121" s="43">
        <f>KA!P124</f>
        <v>0</v>
      </c>
      <c r="K121" s="43">
        <f>KA!Q124</f>
        <v>0</v>
      </c>
      <c r="L121" s="43">
        <f>KA!R124</f>
        <v>347500</v>
      </c>
      <c r="N121" s="37" t="s">
        <v>22</v>
      </c>
      <c r="O121" s="44">
        <v>1280</v>
      </c>
      <c r="Q121" s="12"/>
    </row>
    <row r="122" spans="1:17" x14ac:dyDescent="0.25">
      <c r="A122" s="35" t="str">
        <f>KA!G125</f>
        <v>Direct - Inactive</v>
      </c>
      <c r="B122" s="35" t="str">
        <f>KA!H125</f>
        <v>Ruchi Agro Industries</v>
      </c>
      <c r="C122" s="43">
        <f>KA!I125</f>
        <v>414295</v>
      </c>
      <c r="D122" s="43">
        <f>KA!J125</f>
        <v>0</v>
      </c>
      <c r="E122" s="43">
        <f>KA!K125</f>
        <v>0</v>
      </c>
      <c r="F122" s="43">
        <f>KA!L125</f>
        <v>0</v>
      </c>
      <c r="G122" s="43">
        <f>KA!M125</f>
        <v>0</v>
      </c>
      <c r="H122" s="43">
        <f>KA!N125</f>
        <v>0</v>
      </c>
      <c r="I122" s="43">
        <f>KA!O125</f>
        <v>0</v>
      </c>
      <c r="J122" s="43">
        <f>KA!P125</f>
        <v>0</v>
      </c>
      <c r="K122" s="43">
        <f>KA!Q125</f>
        <v>0</v>
      </c>
      <c r="L122" s="43">
        <f>KA!R125</f>
        <v>414295</v>
      </c>
      <c r="N122" s="37" t="s">
        <v>23</v>
      </c>
      <c r="O122" s="44">
        <v>180</v>
      </c>
      <c r="Q122" s="12"/>
    </row>
    <row r="123" spans="1:17" x14ac:dyDescent="0.25">
      <c r="A123" s="35" t="str">
        <f>KA!G126</f>
        <v>Direct - Inactive</v>
      </c>
      <c r="B123" s="35" t="str">
        <f>KA!H126</f>
        <v>Sampath Kumar M K</v>
      </c>
      <c r="C123" s="43">
        <f>KA!I126</f>
        <v>94150</v>
      </c>
      <c r="D123" s="43">
        <f>KA!J126</f>
        <v>0</v>
      </c>
      <c r="E123" s="43">
        <f>KA!K126</f>
        <v>0</v>
      </c>
      <c r="F123" s="43">
        <f>KA!L126</f>
        <v>0</v>
      </c>
      <c r="G123" s="43">
        <f>KA!M126</f>
        <v>0</v>
      </c>
      <c r="H123" s="43">
        <f>KA!N126</f>
        <v>0</v>
      </c>
      <c r="I123" s="43">
        <f>KA!O126</f>
        <v>0</v>
      </c>
      <c r="J123" s="43">
        <f>KA!P126</f>
        <v>0</v>
      </c>
      <c r="K123" s="43">
        <f>KA!Q126</f>
        <v>0</v>
      </c>
      <c r="L123" s="43">
        <f>KA!R126</f>
        <v>94150</v>
      </c>
      <c r="N123" s="37" t="s">
        <v>149</v>
      </c>
      <c r="O123" s="44">
        <v>1319600</v>
      </c>
      <c r="Q123" s="12"/>
    </row>
    <row r="124" spans="1:17" x14ac:dyDescent="0.25">
      <c r="A124" s="35" t="str">
        <f>KA!G127</f>
        <v>Direct - Inactive</v>
      </c>
      <c r="B124" s="35" t="str">
        <f>KA!H127</f>
        <v>Sathish Feeds Chandapur</v>
      </c>
      <c r="C124" s="43">
        <f>KA!I127</f>
        <v>7750</v>
      </c>
      <c r="D124" s="43">
        <f>KA!J127</f>
        <v>0</v>
      </c>
      <c r="E124" s="43">
        <f>KA!K127</f>
        <v>0</v>
      </c>
      <c r="F124" s="43">
        <f>KA!L127</f>
        <v>0</v>
      </c>
      <c r="G124" s="43">
        <f>KA!M127</f>
        <v>0</v>
      </c>
      <c r="H124" s="43">
        <f>KA!N127</f>
        <v>0</v>
      </c>
      <c r="I124" s="43">
        <f>KA!O127</f>
        <v>0</v>
      </c>
      <c r="J124" s="43">
        <f>KA!P127</f>
        <v>0</v>
      </c>
      <c r="K124" s="43">
        <f>KA!Q127</f>
        <v>0</v>
      </c>
      <c r="L124" s="43">
        <f>KA!R127</f>
        <v>7750</v>
      </c>
      <c r="N124" s="37" t="s">
        <v>24</v>
      </c>
      <c r="O124" s="44">
        <v>47355</v>
      </c>
      <c r="Q124" s="12"/>
    </row>
    <row r="125" spans="1:17" x14ac:dyDescent="0.25">
      <c r="A125" s="35" t="str">
        <f>KA!G128</f>
        <v>Direct - Inactive</v>
      </c>
      <c r="B125" s="35" t="str">
        <f>KA!H128</f>
        <v>Shakthi Hatcheries &amp; Feeds</v>
      </c>
      <c r="C125" s="43">
        <f>KA!I128</f>
        <v>56826</v>
      </c>
      <c r="D125" s="43">
        <f>KA!J128</f>
        <v>0</v>
      </c>
      <c r="E125" s="43">
        <f>KA!K128</f>
        <v>0</v>
      </c>
      <c r="F125" s="43">
        <f>KA!L128</f>
        <v>0</v>
      </c>
      <c r="G125" s="43">
        <f>KA!M128</f>
        <v>0</v>
      </c>
      <c r="H125" s="43">
        <f>KA!N128</f>
        <v>0</v>
      </c>
      <c r="I125" s="43">
        <f>KA!O128</f>
        <v>0</v>
      </c>
      <c r="J125" s="43">
        <f>KA!P128</f>
        <v>0</v>
      </c>
      <c r="K125" s="43">
        <f>KA!Q128</f>
        <v>56826</v>
      </c>
      <c r="L125" s="43">
        <f>KA!R128</f>
        <v>0</v>
      </c>
      <c r="N125" s="37" t="s">
        <v>79</v>
      </c>
      <c r="O125" s="44">
        <v>45014</v>
      </c>
      <c r="Q125" s="12"/>
    </row>
    <row r="126" spans="1:17" x14ac:dyDescent="0.25">
      <c r="A126" s="35" t="str">
        <f>KA!G129</f>
        <v>Direct - Inactive</v>
      </c>
      <c r="B126" s="35" t="str">
        <f>KA!H129</f>
        <v>SR Agro Farms - Rajanakunte</v>
      </c>
      <c r="C126" s="43">
        <f>KA!I129</f>
        <v>221525</v>
      </c>
      <c r="D126" s="43">
        <f>KA!J129</f>
        <v>0</v>
      </c>
      <c r="E126" s="43">
        <f>KA!K129</f>
        <v>0</v>
      </c>
      <c r="F126" s="43">
        <f>KA!L129</f>
        <v>0</v>
      </c>
      <c r="G126" s="43">
        <f>KA!M129</f>
        <v>0</v>
      </c>
      <c r="H126" s="43">
        <f>KA!N129</f>
        <v>0</v>
      </c>
      <c r="I126" s="43">
        <f>KA!O129</f>
        <v>0</v>
      </c>
      <c r="J126" s="43">
        <f>KA!P129</f>
        <v>0</v>
      </c>
      <c r="K126" s="43">
        <f>KA!Q129</f>
        <v>0</v>
      </c>
      <c r="L126" s="43">
        <f>KA!R129</f>
        <v>221525</v>
      </c>
      <c r="N126" s="37" t="s">
        <v>136</v>
      </c>
      <c r="O126" s="44">
        <v>455999</v>
      </c>
      <c r="Q126" s="12"/>
    </row>
    <row r="127" spans="1:17" x14ac:dyDescent="0.25">
      <c r="A127" s="35" t="str">
        <f>KA!G130</f>
        <v>Direct - Inactive</v>
      </c>
      <c r="B127" s="35" t="str">
        <f>KA!H130</f>
        <v>Sri Chamundeshwari Poultry Feeds</v>
      </c>
      <c r="C127" s="43">
        <f>KA!I130</f>
        <v>39921.339999999997</v>
      </c>
      <c r="D127" s="43">
        <f>KA!J130</f>
        <v>0</v>
      </c>
      <c r="E127" s="43">
        <f>KA!K130</f>
        <v>0</v>
      </c>
      <c r="F127" s="43">
        <f>KA!L130</f>
        <v>0</v>
      </c>
      <c r="G127" s="43">
        <f>KA!M130</f>
        <v>0</v>
      </c>
      <c r="H127" s="43">
        <f>KA!N130</f>
        <v>0</v>
      </c>
      <c r="I127" s="43">
        <f>KA!O130</f>
        <v>0</v>
      </c>
      <c r="J127" s="43">
        <f>KA!P130</f>
        <v>11250</v>
      </c>
      <c r="K127" s="43">
        <f>KA!Q130</f>
        <v>0</v>
      </c>
      <c r="L127" s="43">
        <f>KA!R130</f>
        <v>28671.34</v>
      </c>
      <c r="N127" s="37" t="s">
        <v>80</v>
      </c>
      <c r="O127" s="44">
        <v>51000</v>
      </c>
      <c r="Q127" s="12"/>
    </row>
    <row r="128" spans="1:17" x14ac:dyDescent="0.25">
      <c r="A128" s="35" t="str">
        <f>KA!G131</f>
        <v>Direct - Inactive</v>
      </c>
      <c r="B128" s="35" t="str">
        <f>KA!H131</f>
        <v>Sri Nandi Feeds</v>
      </c>
      <c r="C128" s="43">
        <f>KA!I131</f>
        <v>1679384</v>
      </c>
      <c r="D128" s="43">
        <f>KA!J131</f>
        <v>0</v>
      </c>
      <c r="E128" s="43">
        <f>KA!K131</f>
        <v>0</v>
      </c>
      <c r="F128" s="43">
        <f>KA!L131</f>
        <v>0</v>
      </c>
      <c r="G128" s="43">
        <f>KA!M131</f>
        <v>0</v>
      </c>
      <c r="H128" s="43">
        <f>KA!N131</f>
        <v>0</v>
      </c>
      <c r="I128" s="43">
        <f>KA!O131</f>
        <v>0</v>
      </c>
      <c r="J128" s="43">
        <f>KA!P131</f>
        <v>0</v>
      </c>
      <c r="K128" s="43">
        <f>KA!Q131</f>
        <v>0</v>
      </c>
      <c r="L128" s="43">
        <f>KA!R131</f>
        <v>1679384</v>
      </c>
      <c r="N128" s="37" t="s">
        <v>137</v>
      </c>
      <c r="O128" s="44">
        <v>66297</v>
      </c>
      <c r="Q128" s="12"/>
    </row>
    <row r="129" spans="1:17" x14ac:dyDescent="0.25">
      <c r="A129" s="35" t="str">
        <f>KA!G132</f>
        <v>Direct - Inactive</v>
      </c>
      <c r="B129" s="35" t="str">
        <f>KA!H132</f>
        <v>Sumukha Farm</v>
      </c>
      <c r="C129" s="43">
        <f>KA!I132</f>
        <v>34900</v>
      </c>
      <c r="D129" s="43">
        <f>KA!J132</f>
        <v>0</v>
      </c>
      <c r="E129" s="43">
        <f>KA!K132</f>
        <v>0</v>
      </c>
      <c r="F129" s="43">
        <f>KA!L132</f>
        <v>0</v>
      </c>
      <c r="G129" s="43">
        <f>KA!M132</f>
        <v>0</v>
      </c>
      <c r="H129" s="43">
        <f>KA!N132</f>
        <v>0</v>
      </c>
      <c r="I129" s="43">
        <f>KA!O132</f>
        <v>0</v>
      </c>
      <c r="J129" s="43">
        <f>KA!P132</f>
        <v>0</v>
      </c>
      <c r="K129" s="43">
        <f>KA!Q132</f>
        <v>4730</v>
      </c>
      <c r="L129" s="43">
        <f>KA!R132</f>
        <v>30170</v>
      </c>
      <c r="N129" s="37" t="s">
        <v>199</v>
      </c>
      <c r="O129" s="44">
        <v>46500</v>
      </c>
      <c r="Q129" s="12"/>
    </row>
    <row r="130" spans="1:17" x14ac:dyDescent="0.25">
      <c r="A130" s="35" t="str">
        <f>KA!G133</f>
        <v>Direct - Inactive</v>
      </c>
      <c r="B130" s="35" t="str">
        <f>KA!H133</f>
        <v>Thammanna Poultry Feeds</v>
      </c>
      <c r="C130" s="43">
        <f>KA!I133</f>
        <v>91772</v>
      </c>
      <c r="D130" s="43">
        <f>KA!J133</f>
        <v>0</v>
      </c>
      <c r="E130" s="43">
        <f>KA!K133</f>
        <v>0</v>
      </c>
      <c r="F130" s="43">
        <f>KA!L133</f>
        <v>0</v>
      </c>
      <c r="G130" s="43">
        <f>KA!M133</f>
        <v>0</v>
      </c>
      <c r="H130" s="43">
        <f>KA!N133</f>
        <v>0</v>
      </c>
      <c r="I130" s="43">
        <f>KA!O133</f>
        <v>0</v>
      </c>
      <c r="J130" s="43">
        <f>KA!P133</f>
        <v>0</v>
      </c>
      <c r="K130" s="43">
        <f>KA!Q133</f>
        <v>272</v>
      </c>
      <c r="L130" s="43">
        <f>KA!R133</f>
        <v>91500</v>
      </c>
      <c r="N130" s="37" t="s">
        <v>200</v>
      </c>
      <c r="O130" s="44">
        <v>5780</v>
      </c>
      <c r="Q130" s="12"/>
    </row>
    <row r="131" spans="1:17" x14ac:dyDescent="0.25">
      <c r="A131" s="35" t="str">
        <f>KA!G134</f>
        <v>DR</v>
      </c>
      <c r="B131" s="35" t="str">
        <f>KA!H134</f>
        <v>Utpala Live Stocks</v>
      </c>
      <c r="C131" s="43">
        <f>KA!I134</f>
        <v>95</v>
      </c>
      <c r="D131" s="43">
        <f>KA!J134</f>
        <v>95</v>
      </c>
      <c r="E131" s="43">
        <f>KA!K134</f>
        <v>0</v>
      </c>
      <c r="F131" s="43">
        <f>KA!L134</f>
        <v>0</v>
      </c>
      <c r="G131" s="43">
        <f>KA!M134</f>
        <v>0</v>
      </c>
      <c r="H131" s="43">
        <f>KA!N134</f>
        <v>0</v>
      </c>
      <c r="I131" s="43">
        <f>KA!O134</f>
        <v>0</v>
      </c>
      <c r="J131" s="43">
        <f>KA!P134</f>
        <v>0</v>
      </c>
      <c r="K131" s="43">
        <f>KA!Q134</f>
        <v>0</v>
      </c>
      <c r="L131" s="43">
        <f>KA!R134</f>
        <v>0</v>
      </c>
      <c r="N131" s="37" t="s">
        <v>81</v>
      </c>
      <c r="O131" s="44">
        <v>235925</v>
      </c>
      <c r="Q131" s="12"/>
    </row>
    <row r="132" spans="1:17" x14ac:dyDescent="0.25">
      <c r="A132" s="35" t="str">
        <f>KA!G135</f>
        <v>Mahendra</v>
      </c>
      <c r="B132" s="35" t="str">
        <f>KA!H135</f>
        <v>Pratham Distributors</v>
      </c>
      <c r="C132" s="43">
        <f>KA!I135</f>
        <v>1319600</v>
      </c>
      <c r="D132" s="43">
        <f>KA!J135</f>
        <v>1316500</v>
      </c>
      <c r="E132" s="43">
        <f>KA!K135</f>
        <v>0</v>
      </c>
      <c r="F132" s="43">
        <f>KA!L135</f>
        <v>3100</v>
      </c>
      <c r="G132" s="43">
        <f>KA!M135</f>
        <v>0</v>
      </c>
      <c r="H132" s="43">
        <f>KA!N135</f>
        <v>0</v>
      </c>
      <c r="I132" s="43">
        <f>KA!O135</f>
        <v>0</v>
      </c>
      <c r="J132" s="43">
        <f>KA!P135</f>
        <v>0</v>
      </c>
      <c r="K132" s="43">
        <f>KA!Q135</f>
        <v>0</v>
      </c>
      <c r="L132" s="43">
        <f>KA!R135</f>
        <v>0</v>
      </c>
      <c r="N132" s="37" t="s">
        <v>219</v>
      </c>
      <c r="O132" s="44">
        <v>2665026</v>
      </c>
      <c r="Q132" s="12"/>
    </row>
    <row r="133" spans="1:17" x14ac:dyDescent="0.25">
      <c r="A133" s="35" t="str">
        <f>KA!G136</f>
        <v>Mahendra</v>
      </c>
      <c r="B133" s="35" t="str">
        <f>KA!H136</f>
        <v>Shri Hiranyakeshi Feeds and Farms Pvt Ltd</v>
      </c>
      <c r="C133" s="43">
        <f>KA!I136</f>
        <v>342500</v>
      </c>
      <c r="D133" s="43">
        <f>KA!J136</f>
        <v>342500</v>
      </c>
      <c r="E133" s="43">
        <f>KA!K136</f>
        <v>0</v>
      </c>
      <c r="F133" s="43">
        <f>KA!L136</f>
        <v>0</v>
      </c>
      <c r="G133" s="43">
        <f>KA!M136</f>
        <v>0</v>
      </c>
      <c r="H133" s="43">
        <f>KA!N136</f>
        <v>0</v>
      </c>
      <c r="I133" s="43">
        <f>KA!O136</f>
        <v>0</v>
      </c>
      <c r="J133" s="43">
        <f>KA!P136</f>
        <v>0</v>
      </c>
      <c r="K133" s="43">
        <f>KA!Q136</f>
        <v>0</v>
      </c>
      <c r="L133" s="43">
        <f>KA!R136</f>
        <v>0</v>
      </c>
      <c r="N133" s="37" t="s">
        <v>82</v>
      </c>
      <c r="O133" s="44">
        <v>755000</v>
      </c>
      <c r="Q133" s="12"/>
    </row>
    <row r="134" spans="1:17" x14ac:dyDescent="0.25">
      <c r="A134" s="35" t="str">
        <f>KA!G137</f>
        <v>Mahendra</v>
      </c>
      <c r="B134" s="35" t="str">
        <f>KA!H137</f>
        <v>Sun Biotic</v>
      </c>
      <c r="C134" s="43">
        <f>KA!I137</f>
        <v>2801980.25</v>
      </c>
      <c r="D134" s="43">
        <f>KA!J137</f>
        <v>0</v>
      </c>
      <c r="E134" s="43">
        <f>KA!K137</f>
        <v>0</v>
      </c>
      <c r="F134" s="43">
        <f>KA!L137</f>
        <v>77825</v>
      </c>
      <c r="G134" s="43">
        <f>KA!M137</f>
        <v>0</v>
      </c>
      <c r="H134" s="43">
        <f>KA!N137</f>
        <v>0</v>
      </c>
      <c r="I134" s="43">
        <f>KA!O137</f>
        <v>468450</v>
      </c>
      <c r="J134" s="43">
        <f>KA!P137</f>
        <v>1196972.25</v>
      </c>
      <c r="K134" s="43">
        <f>KA!Q137</f>
        <v>1058733</v>
      </c>
      <c r="L134" s="43">
        <f>KA!R137</f>
        <v>0</v>
      </c>
      <c r="N134" s="37" t="s">
        <v>155</v>
      </c>
      <c r="O134" s="44">
        <v>28025</v>
      </c>
      <c r="Q134" s="12"/>
    </row>
    <row r="135" spans="1:17" x14ac:dyDescent="0.25">
      <c r="A135" s="35" t="str">
        <f>KA!G138</f>
        <v>Prabhakar</v>
      </c>
      <c r="B135" s="35" t="str">
        <f>KA!H138</f>
        <v>Ashwatha Narayana Poultry Farm</v>
      </c>
      <c r="C135" s="43">
        <f>KA!I138</f>
        <v>4550</v>
      </c>
      <c r="D135" s="43">
        <f>KA!J138</f>
        <v>0</v>
      </c>
      <c r="E135" s="43">
        <f>KA!K138</f>
        <v>0</v>
      </c>
      <c r="F135" s="43">
        <f>KA!L138</f>
        <v>0</v>
      </c>
      <c r="G135" s="43">
        <f>KA!M138</f>
        <v>0</v>
      </c>
      <c r="H135" s="43">
        <f>KA!N138</f>
        <v>0</v>
      </c>
      <c r="I135" s="43">
        <f>KA!O138</f>
        <v>0</v>
      </c>
      <c r="J135" s="43">
        <f>KA!P138</f>
        <v>0</v>
      </c>
      <c r="K135" s="43">
        <f>KA!Q138</f>
        <v>0</v>
      </c>
      <c r="L135" s="43">
        <f>KA!R138</f>
        <v>4550</v>
      </c>
      <c r="N135" s="37" t="s">
        <v>130</v>
      </c>
      <c r="O135" s="44">
        <v>842606</v>
      </c>
      <c r="Q135" s="12"/>
    </row>
    <row r="136" spans="1:17" x14ac:dyDescent="0.25">
      <c r="A136" s="35" t="str">
        <f>KA!G139</f>
        <v>Prabhakar</v>
      </c>
      <c r="B136" s="35" t="str">
        <f>KA!H139</f>
        <v>Hanumanthappa Poultry Farm</v>
      </c>
      <c r="C136" s="43">
        <f>KA!I139</f>
        <v>12300</v>
      </c>
      <c r="D136" s="43">
        <f>KA!J139</f>
        <v>0</v>
      </c>
      <c r="E136" s="43">
        <f>KA!K139</f>
        <v>0</v>
      </c>
      <c r="F136" s="43">
        <f>KA!L139</f>
        <v>0</v>
      </c>
      <c r="G136" s="43">
        <f>KA!M139</f>
        <v>0</v>
      </c>
      <c r="H136" s="43">
        <f>KA!N139</f>
        <v>0</v>
      </c>
      <c r="I136" s="43">
        <f>KA!O139</f>
        <v>0</v>
      </c>
      <c r="J136" s="43">
        <f>KA!P139</f>
        <v>0</v>
      </c>
      <c r="K136" s="43">
        <f>KA!Q139</f>
        <v>0</v>
      </c>
      <c r="L136" s="43">
        <f>KA!R139</f>
        <v>12300</v>
      </c>
      <c r="N136" s="37" t="s">
        <v>178</v>
      </c>
      <c r="O136" s="44">
        <v>197000</v>
      </c>
      <c r="Q136" s="12"/>
    </row>
    <row r="137" spans="1:17" x14ac:dyDescent="0.25">
      <c r="A137" s="35" t="str">
        <f>KA!G140</f>
        <v>Prabhakar</v>
      </c>
      <c r="B137" s="35" t="str">
        <f>KA!H140</f>
        <v>Kadabageri Kotresh</v>
      </c>
      <c r="C137" s="43">
        <f>KA!I140</f>
        <v>114750</v>
      </c>
      <c r="D137" s="43">
        <f>KA!J140</f>
        <v>0</v>
      </c>
      <c r="E137" s="43">
        <f>KA!K140</f>
        <v>0</v>
      </c>
      <c r="F137" s="43">
        <f>KA!L140</f>
        <v>0</v>
      </c>
      <c r="G137" s="43">
        <f>KA!M140</f>
        <v>0</v>
      </c>
      <c r="H137" s="43">
        <f>KA!N140</f>
        <v>0</v>
      </c>
      <c r="I137" s="43">
        <f>KA!O140</f>
        <v>0</v>
      </c>
      <c r="J137" s="43">
        <f>KA!P140</f>
        <v>0</v>
      </c>
      <c r="K137" s="43">
        <f>KA!Q140</f>
        <v>0</v>
      </c>
      <c r="L137" s="43">
        <f>KA!R140</f>
        <v>114750</v>
      </c>
      <c r="N137" s="37" t="s">
        <v>83</v>
      </c>
      <c r="O137" s="44">
        <v>63075</v>
      </c>
      <c r="Q137" s="12"/>
    </row>
    <row r="138" spans="1:17" x14ac:dyDescent="0.25">
      <c r="A138" s="35" t="str">
        <f>KA!G141</f>
        <v>Prabhakar</v>
      </c>
      <c r="B138" s="35" t="str">
        <f>KA!H141</f>
        <v>Radha Krishna Poultry Farm</v>
      </c>
      <c r="C138" s="43">
        <f>KA!I141</f>
        <v>28025</v>
      </c>
      <c r="D138" s="43">
        <f>KA!J141</f>
        <v>0</v>
      </c>
      <c r="E138" s="43">
        <f>KA!K141</f>
        <v>0</v>
      </c>
      <c r="F138" s="43">
        <f>KA!L141</f>
        <v>0</v>
      </c>
      <c r="G138" s="43">
        <f>KA!M141</f>
        <v>0</v>
      </c>
      <c r="H138" s="43">
        <f>KA!N141</f>
        <v>0</v>
      </c>
      <c r="I138" s="43">
        <f>KA!O141</f>
        <v>0</v>
      </c>
      <c r="J138" s="43">
        <f>KA!P141</f>
        <v>0</v>
      </c>
      <c r="K138" s="43">
        <f>KA!Q141</f>
        <v>0</v>
      </c>
      <c r="L138" s="43">
        <f>KA!R141</f>
        <v>28025</v>
      </c>
      <c r="N138" s="37" t="s">
        <v>25</v>
      </c>
      <c r="O138" s="44">
        <v>8185</v>
      </c>
      <c r="Q138" s="12"/>
    </row>
    <row r="139" spans="1:17" x14ac:dyDescent="0.25">
      <c r="A139" s="35" t="str">
        <f>KA!G142</f>
        <v>Prabhakar</v>
      </c>
      <c r="B139" s="35" t="str">
        <f>KA!H142</f>
        <v>Shri Lakshmi Narasimha PF</v>
      </c>
      <c r="C139" s="43">
        <f>KA!I142</f>
        <v>18000</v>
      </c>
      <c r="D139" s="43">
        <f>KA!J142</f>
        <v>0</v>
      </c>
      <c r="E139" s="43">
        <f>KA!K142</f>
        <v>0</v>
      </c>
      <c r="F139" s="43">
        <f>KA!L142</f>
        <v>0</v>
      </c>
      <c r="G139" s="43">
        <f>KA!M142</f>
        <v>0</v>
      </c>
      <c r="H139" s="43">
        <f>KA!N142</f>
        <v>0</v>
      </c>
      <c r="I139" s="43">
        <f>KA!O142</f>
        <v>0</v>
      </c>
      <c r="J139" s="43">
        <f>KA!P142</f>
        <v>0</v>
      </c>
      <c r="K139" s="43">
        <f>KA!Q142</f>
        <v>0</v>
      </c>
      <c r="L139" s="43">
        <f>KA!R142</f>
        <v>18000</v>
      </c>
      <c r="N139" s="37" t="s">
        <v>84</v>
      </c>
      <c r="O139" s="44">
        <v>14160</v>
      </c>
      <c r="Q139" s="12"/>
    </row>
    <row r="140" spans="1:17" x14ac:dyDescent="0.25">
      <c r="A140" s="35" t="str">
        <f>KA!G143</f>
        <v>Prabhakar</v>
      </c>
      <c r="B140" s="35" t="str">
        <f>KA!H143</f>
        <v>Sudarshan Poultry Farm</v>
      </c>
      <c r="C140" s="43">
        <f>KA!I143</f>
        <v>309520</v>
      </c>
      <c r="D140" s="43">
        <f>KA!J143</f>
        <v>0</v>
      </c>
      <c r="E140" s="43">
        <f>KA!K143</f>
        <v>0</v>
      </c>
      <c r="F140" s="43">
        <f>KA!L143</f>
        <v>0</v>
      </c>
      <c r="G140" s="43">
        <f>KA!M143</f>
        <v>0</v>
      </c>
      <c r="H140" s="43">
        <f>KA!N143</f>
        <v>0</v>
      </c>
      <c r="I140" s="43">
        <f>KA!O143</f>
        <v>0</v>
      </c>
      <c r="J140" s="43">
        <f>KA!P143</f>
        <v>0</v>
      </c>
      <c r="K140" s="43">
        <f>KA!Q143</f>
        <v>0</v>
      </c>
      <c r="L140" s="43">
        <f>KA!R143</f>
        <v>309520</v>
      </c>
      <c r="N140" s="37" t="s">
        <v>179</v>
      </c>
      <c r="O140" s="44">
        <v>64450</v>
      </c>
      <c r="Q140" s="12"/>
    </row>
    <row r="141" spans="1:17" x14ac:dyDescent="0.25">
      <c r="A141" s="35" t="str">
        <f>KA!G144</f>
        <v>Prabhakar</v>
      </c>
      <c r="B141" s="35" t="str">
        <f>KA!H144</f>
        <v>Venkateshwara Poultry Farm - Harihara</v>
      </c>
      <c r="C141" s="43">
        <f>KA!I144</f>
        <v>6150</v>
      </c>
      <c r="D141" s="43">
        <f>KA!J144</f>
        <v>0</v>
      </c>
      <c r="E141" s="43">
        <f>KA!K144</f>
        <v>0</v>
      </c>
      <c r="F141" s="43">
        <f>KA!L144</f>
        <v>0</v>
      </c>
      <c r="G141" s="43">
        <f>KA!M144</f>
        <v>0</v>
      </c>
      <c r="H141" s="43">
        <f>KA!N144</f>
        <v>0</v>
      </c>
      <c r="I141" s="43">
        <f>KA!O144</f>
        <v>0</v>
      </c>
      <c r="J141" s="43">
        <f>KA!P144</f>
        <v>0</v>
      </c>
      <c r="K141" s="43">
        <f>KA!Q144</f>
        <v>0</v>
      </c>
      <c r="L141" s="43">
        <f>KA!R144</f>
        <v>6150</v>
      </c>
      <c r="N141" s="37" t="s">
        <v>26</v>
      </c>
      <c r="O141" s="44">
        <v>56995</v>
      </c>
      <c r="Q141" s="12"/>
    </row>
    <row r="142" spans="1:17" x14ac:dyDescent="0.25">
      <c r="A142" s="35" t="str">
        <f>KA!G148</f>
        <v>Dayananda</v>
      </c>
      <c r="B142" s="35" t="str">
        <f>KA!H148</f>
        <v>Ramakrishna Nayak</v>
      </c>
      <c r="C142" s="43">
        <f>KA!I148</f>
        <v>64450</v>
      </c>
      <c r="D142" s="43">
        <f>KA!J148</f>
        <v>0</v>
      </c>
      <c r="E142" s="43">
        <f>KA!K148</f>
        <v>0</v>
      </c>
      <c r="F142" s="43">
        <f>KA!L148</f>
        <v>0</v>
      </c>
      <c r="G142" s="43">
        <f>KA!M148</f>
        <v>0</v>
      </c>
      <c r="H142" s="43">
        <f>KA!N148</f>
        <v>64450</v>
      </c>
      <c r="I142" s="43">
        <f>KA!O148</f>
        <v>0</v>
      </c>
      <c r="J142" s="43">
        <f>KA!P148</f>
        <v>0</v>
      </c>
      <c r="K142" s="43">
        <f>KA!Q148</f>
        <v>0</v>
      </c>
      <c r="L142" s="43">
        <f>KA!R148</f>
        <v>0</v>
      </c>
      <c r="N142" s="37" t="s">
        <v>85</v>
      </c>
      <c r="O142" s="44">
        <v>3940</v>
      </c>
      <c r="Q142" s="12"/>
    </row>
    <row r="143" spans="1:17" x14ac:dyDescent="0.25">
      <c r="A143" s="35" t="str">
        <f>KA!G149</f>
        <v>Direct - Active</v>
      </c>
      <c r="B143" s="35" t="str">
        <f>KA!H149</f>
        <v>Akash Enterprises</v>
      </c>
      <c r="C143" s="43">
        <f>KA!I149</f>
        <v>1635149.84</v>
      </c>
      <c r="D143" s="43">
        <f>KA!J149</f>
        <v>67625</v>
      </c>
      <c r="E143" s="43">
        <f>KA!K149</f>
        <v>153650</v>
      </c>
      <c r="F143" s="43">
        <f>KA!L149</f>
        <v>316125</v>
      </c>
      <c r="G143" s="43">
        <f>KA!M149</f>
        <v>171150</v>
      </c>
      <c r="H143" s="43">
        <f>KA!N149</f>
        <v>715750</v>
      </c>
      <c r="I143" s="43">
        <f>KA!O149</f>
        <v>210849.84</v>
      </c>
      <c r="J143" s="43">
        <f>KA!P149</f>
        <v>0</v>
      </c>
      <c r="K143" s="43">
        <f>KA!Q149</f>
        <v>0</v>
      </c>
      <c r="L143" s="43">
        <f>KA!R149</f>
        <v>0</v>
      </c>
      <c r="N143" s="37" t="s">
        <v>294</v>
      </c>
      <c r="O143" s="44">
        <v>190900</v>
      </c>
      <c r="Q143" s="12"/>
    </row>
    <row r="144" spans="1:17" x14ac:dyDescent="0.25">
      <c r="A144" s="35" t="str">
        <f>KA!G150</f>
        <v>Direct - Active</v>
      </c>
      <c r="B144" s="35" t="str">
        <f>KA!H150</f>
        <v>CNC Poultry Farms &amp; Feeds</v>
      </c>
      <c r="C144" s="43">
        <f>KA!I150</f>
        <v>4837099</v>
      </c>
      <c r="D144" s="43">
        <f>KA!J150</f>
        <v>136500</v>
      </c>
      <c r="E144" s="43">
        <f>KA!K150</f>
        <v>283620</v>
      </c>
      <c r="F144" s="43">
        <f>KA!L150</f>
        <v>585945</v>
      </c>
      <c r="G144" s="43">
        <f>KA!M150</f>
        <v>261600</v>
      </c>
      <c r="H144" s="43">
        <f>KA!N150</f>
        <v>1262250</v>
      </c>
      <c r="I144" s="43">
        <f>KA!O150</f>
        <v>1394260</v>
      </c>
      <c r="J144" s="43">
        <f>KA!P150</f>
        <v>912924</v>
      </c>
      <c r="K144" s="43">
        <f>KA!Q150</f>
        <v>0</v>
      </c>
      <c r="L144" s="43">
        <f>KA!R150</f>
        <v>0</v>
      </c>
      <c r="N144" s="37" t="s">
        <v>86</v>
      </c>
      <c r="O144" s="44">
        <v>24960</v>
      </c>
      <c r="Q144" s="12"/>
    </row>
    <row r="145" spans="1:17" x14ac:dyDescent="0.25">
      <c r="A145" s="35" t="str">
        <f>KA!G151</f>
        <v>Direct - Inactive</v>
      </c>
      <c r="B145" s="35" t="str">
        <f>KA!H151</f>
        <v>Ambika Poultry Farm</v>
      </c>
      <c r="C145" s="43">
        <f>KA!I151</f>
        <v>236276.25</v>
      </c>
      <c r="D145" s="43">
        <f>KA!J151</f>
        <v>0</v>
      </c>
      <c r="E145" s="43">
        <f>KA!K151</f>
        <v>0</v>
      </c>
      <c r="F145" s="43">
        <f>KA!L151</f>
        <v>0</v>
      </c>
      <c r="G145" s="43">
        <f>KA!M151</f>
        <v>0</v>
      </c>
      <c r="H145" s="43">
        <f>KA!N151</f>
        <v>0</v>
      </c>
      <c r="I145" s="43">
        <f>KA!O151</f>
        <v>0</v>
      </c>
      <c r="J145" s="43">
        <f>KA!P151</f>
        <v>0</v>
      </c>
      <c r="K145" s="43">
        <f>KA!Q151</f>
        <v>236276.25</v>
      </c>
      <c r="L145" s="43">
        <f>KA!R151</f>
        <v>0</v>
      </c>
      <c r="N145" s="37" t="s">
        <v>138</v>
      </c>
      <c r="O145" s="44">
        <v>347500</v>
      </c>
      <c r="Q145" s="12"/>
    </row>
    <row r="146" spans="1:17" x14ac:dyDescent="0.25">
      <c r="A146" s="35" t="str">
        <f>KA!G152</f>
        <v>Direct - Inactive</v>
      </c>
      <c r="B146" s="35" t="str">
        <f>KA!H152</f>
        <v>Kavya Traders</v>
      </c>
      <c r="C146" s="43">
        <f>KA!I152</f>
        <v>335497</v>
      </c>
      <c r="D146" s="43">
        <f>KA!J152</f>
        <v>0</v>
      </c>
      <c r="E146" s="43">
        <f>KA!K152</f>
        <v>0</v>
      </c>
      <c r="F146" s="43">
        <f>KA!L152</f>
        <v>0</v>
      </c>
      <c r="G146" s="43">
        <f>KA!M152</f>
        <v>0</v>
      </c>
      <c r="H146" s="43">
        <f>KA!N152</f>
        <v>0</v>
      </c>
      <c r="I146" s="43">
        <f>KA!O152</f>
        <v>0</v>
      </c>
      <c r="J146" s="43">
        <f>KA!P152</f>
        <v>0</v>
      </c>
      <c r="K146" s="43">
        <f>KA!Q152</f>
        <v>0</v>
      </c>
      <c r="L146" s="43">
        <f>KA!R152</f>
        <v>335497</v>
      </c>
      <c r="N146" s="37" t="s">
        <v>221</v>
      </c>
      <c r="O146" s="44">
        <v>6644004</v>
      </c>
      <c r="Q146" s="12"/>
    </row>
    <row r="147" spans="1:17" x14ac:dyDescent="0.25">
      <c r="A147" s="35" t="str">
        <f>KA!G153</f>
        <v>Direct - Inactive</v>
      </c>
      <c r="B147" s="35" t="str">
        <f>KA!H153</f>
        <v xml:space="preserve">Savithri Poultry Farm_x000D_
</v>
      </c>
      <c r="C147" s="43">
        <f>KA!I153</f>
        <v>75494</v>
      </c>
      <c r="D147" s="43">
        <f>KA!J153</f>
        <v>0</v>
      </c>
      <c r="E147" s="43">
        <f>KA!K153</f>
        <v>0</v>
      </c>
      <c r="F147" s="43">
        <f>KA!L153</f>
        <v>0</v>
      </c>
      <c r="G147" s="43">
        <f>KA!M153</f>
        <v>0</v>
      </c>
      <c r="H147" s="43">
        <f>KA!N153</f>
        <v>0</v>
      </c>
      <c r="I147" s="43">
        <f>KA!O153</f>
        <v>0</v>
      </c>
      <c r="J147" s="43">
        <f>KA!P153</f>
        <v>0</v>
      </c>
      <c r="K147" s="43">
        <f>KA!Q153</f>
        <v>0</v>
      </c>
      <c r="L147" s="43">
        <f>KA!R153</f>
        <v>75494</v>
      </c>
      <c r="N147" s="37" t="s">
        <v>271</v>
      </c>
      <c r="O147" s="44">
        <v>343860</v>
      </c>
      <c r="Q147" s="12"/>
    </row>
    <row r="148" spans="1:17" x14ac:dyDescent="0.25">
      <c r="A148" s="35" t="str">
        <f>KA!G154</f>
        <v>G Chandra Sekhar</v>
      </c>
      <c r="B148" s="35" t="str">
        <f>KA!H154</f>
        <v>Yousuf Pf kaddirampur Hampi</v>
      </c>
      <c r="C148" s="43">
        <f>KA!I154</f>
        <v>30607</v>
      </c>
      <c r="D148" s="43">
        <f>KA!J154</f>
        <v>30607</v>
      </c>
      <c r="E148" s="43">
        <f>KA!K154</f>
        <v>0</v>
      </c>
      <c r="F148" s="43">
        <f>KA!L154</f>
        <v>0</v>
      </c>
      <c r="G148" s="43">
        <f>KA!M154</f>
        <v>0</v>
      </c>
      <c r="H148" s="43">
        <f>KA!N154</f>
        <v>0</v>
      </c>
      <c r="I148" s="43">
        <f>KA!O154</f>
        <v>0</v>
      </c>
      <c r="J148" s="43">
        <f>KA!P154</f>
        <v>0</v>
      </c>
      <c r="K148" s="43">
        <f>KA!Q154</f>
        <v>0</v>
      </c>
      <c r="L148" s="43">
        <f>KA!R154</f>
        <v>0</v>
      </c>
      <c r="N148" s="37" t="s">
        <v>87</v>
      </c>
      <c r="O148" s="44">
        <v>119005.51</v>
      </c>
      <c r="Q148" s="12"/>
    </row>
    <row r="149" spans="1:17" x14ac:dyDescent="0.25">
      <c r="A149" s="35" t="str">
        <f>KA!G155</f>
        <v>Prabhakar</v>
      </c>
      <c r="B149" s="35" t="str">
        <f>KA!H155</f>
        <v>GMI Poultry Foods</v>
      </c>
      <c r="C149" s="43">
        <f>KA!I155</f>
        <v>125036</v>
      </c>
      <c r="D149" s="43">
        <f>KA!J155</f>
        <v>0</v>
      </c>
      <c r="E149" s="43">
        <f>KA!K155</f>
        <v>0</v>
      </c>
      <c r="F149" s="43">
        <f>KA!L155</f>
        <v>0</v>
      </c>
      <c r="G149" s="43">
        <f>KA!M155</f>
        <v>0</v>
      </c>
      <c r="H149" s="43">
        <f>KA!N155</f>
        <v>0</v>
      </c>
      <c r="I149" s="43">
        <f>KA!O155</f>
        <v>0</v>
      </c>
      <c r="J149" s="43">
        <f>KA!P155</f>
        <v>0</v>
      </c>
      <c r="K149" s="43">
        <f>KA!Q155</f>
        <v>125036</v>
      </c>
      <c r="L149" s="43">
        <f>KA!R155</f>
        <v>0</v>
      </c>
      <c r="N149" s="37" t="s">
        <v>212</v>
      </c>
      <c r="O149" s="44">
        <v>475</v>
      </c>
      <c r="Q149" s="12"/>
    </row>
    <row r="150" spans="1:17" x14ac:dyDescent="0.25">
      <c r="A150" s="35" t="str">
        <f>KA!G156</f>
        <v>Prabhakar</v>
      </c>
      <c r="B150" s="35" t="str">
        <f>KA!H156</f>
        <v>Hanumanthappa Poultry Farm</v>
      </c>
      <c r="C150" s="43">
        <f>KA!I156</f>
        <v>168114</v>
      </c>
      <c r="D150" s="43">
        <f>KA!J156</f>
        <v>0</v>
      </c>
      <c r="E150" s="43">
        <f>KA!K156</f>
        <v>0</v>
      </c>
      <c r="F150" s="43">
        <f>KA!L156</f>
        <v>0</v>
      </c>
      <c r="G150" s="43">
        <f>KA!M156</f>
        <v>0</v>
      </c>
      <c r="H150" s="43">
        <f>KA!N156</f>
        <v>0</v>
      </c>
      <c r="I150" s="43">
        <f>KA!O156</f>
        <v>0</v>
      </c>
      <c r="J150" s="43">
        <f>KA!P156</f>
        <v>0</v>
      </c>
      <c r="K150" s="43">
        <f>KA!Q156</f>
        <v>168114</v>
      </c>
      <c r="L150" s="43">
        <f>KA!R156</f>
        <v>0</v>
      </c>
      <c r="N150" s="37" t="s">
        <v>139</v>
      </c>
      <c r="O150" s="44">
        <v>414295</v>
      </c>
      <c r="Q150" s="12"/>
    </row>
    <row r="151" spans="1:17" x14ac:dyDescent="0.25">
      <c r="A151" s="35" t="str">
        <f>KA!G157</f>
        <v>Prabhakar</v>
      </c>
      <c r="B151" s="35" t="str">
        <f>KA!H157</f>
        <v>Harsha Poultry Farm</v>
      </c>
      <c r="C151" s="43">
        <f>KA!I157</f>
        <v>8400</v>
      </c>
      <c r="D151" s="43">
        <f>KA!J157</f>
        <v>0</v>
      </c>
      <c r="E151" s="43">
        <f>KA!K157</f>
        <v>0</v>
      </c>
      <c r="F151" s="43">
        <f>KA!L157</f>
        <v>0</v>
      </c>
      <c r="G151" s="43">
        <f>KA!M157</f>
        <v>0</v>
      </c>
      <c r="H151" s="43">
        <f>KA!N157</f>
        <v>0</v>
      </c>
      <c r="I151" s="43">
        <f>KA!O157</f>
        <v>0</v>
      </c>
      <c r="J151" s="43">
        <f>KA!P157</f>
        <v>0</v>
      </c>
      <c r="K151" s="43">
        <f>KA!Q157</f>
        <v>0</v>
      </c>
      <c r="L151" s="43">
        <f>KA!R157</f>
        <v>8400</v>
      </c>
      <c r="N151" s="37" t="s">
        <v>92</v>
      </c>
      <c r="O151" s="44">
        <v>653616</v>
      </c>
      <c r="Q151" s="12"/>
    </row>
    <row r="152" spans="1:17" x14ac:dyDescent="0.25">
      <c r="A152" s="35" t="str">
        <f>KA!G158</f>
        <v>Prabhakar</v>
      </c>
      <c r="B152" s="35" t="str">
        <f>KA!H158</f>
        <v>HKGN Poultry Farm</v>
      </c>
      <c r="C152" s="43">
        <f>KA!I158</f>
        <v>24074</v>
      </c>
      <c r="D152" s="43">
        <f>KA!J158</f>
        <v>0</v>
      </c>
      <c r="E152" s="43">
        <f>KA!K158</f>
        <v>0</v>
      </c>
      <c r="F152" s="43">
        <f>KA!L158</f>
        <v>0</v>
      </c>
      <c r="G152" s="43">
        <f>KA!M158</f>
        <v>0</v>
      </c>
      <c r="H152" s="43">
        <f>KA!N158</f>
        <v>0</v>
      </c>
      <c r="I152" s="43">
        <f>KA!O158</f>
        <v>0</v>
      </c>
      <c r="J152" s="43">
        <f>KA!P158</f>
        <v>0</v>
      </c>
      <c r="K152" s="43">
        <f>KA!Q158</f>
        <v>23124</v>
      </c>
      <c r="L152" s="43">
        <f>KA!R158</f>
        <v>950</v>
      </c>
      <c r="N152" s="37" t="s">
        <v>273</v>
      </c>
      <c r="O152" s="44">
        <v>5845.23</v>
      </c>
      <c r="Q152" s="12"/>
    </row>
    <row r="153" spans="1:17" x14ac:dyDescent="0.25">
      <c r="A153" s="35" t="str">
        <f>KA!G159</f>
        <v>Prabhakar</v>
      </c>
      <c r="B153" s="35" t="str">
        <f>KA!H159</f>
        <v>Jeelan Poultry Farm</v>
      </c>
      <c r="C153" s="43">
        <f>KA!I159</f>
        <v>173480</v>
      </c>
      <c r="D153" s="43">
        <f>KA!J159</f>
        <v>0</v>
      </c>
      <c r="E153" s="43">
        <f>KA!K159</f>
        <v>0</v>
      </c>
      <c r="F153" s="43">
        <f>KA!L159</f>
        <v>0</v>
      </c>
      <c r="G153" s="43">
        <f>KA!M159</f>
        <v>0</v>
      </c>
      <c r="H153" s="43">
        <f>KA!N159</f>
        <v>0</v>
      </c>
      <c r="I153" s="43">
        <f>KA!O159</f>
        <v>0</v>
      </c>
      <c r="J153" s="43">
        <f>KA!P159</f>
        <v>0</v>
      </c>
      <c r="K153" s="43">
        <f>KA!Q159</f>
        <v>173480</v>
      </c>
      <c r="L153" s="43">
        <f>KA!R159</f>
        <v>0</v>
      </c>
      <c r="N153" s="37" t="s">
        <v>222</v>
      </c>
      <c r="O153" s="44">
        <v>3517061</v>
      </c>
      <c r="Q153" s="12"/>
    </row>
    <row r="154" spans="1:17" x14ac:dyDescent="0.25">
      <c r="A154" s="35" t="str">
        <f>KA!G160</f>
        <v>Prabhakar</v>
      </c>
      <c r="B154" s="35" t="str">
        <f>KA!H160</f>
        <v>Jyothi Poultry Farms</v>
      </c>
      <c r="C154" s="43">
        <f>KA!I160</f>
        <v>81564.160000000003</v>
      </c>
      <c r="D154" s="43">
        <f>KA!J160</f>
        <v>0</v>
      </c>
      <c r="E154" s="43">
        <f>KA!K160</f>
        <v>0</v>
      </c>
      <c r="F154" s="43">
        <f>KA!L160</f>
        <v>0</v>
      </c>
      <c r="G154" s="43">
        <f>KA!M160</f>
        <v>0</v>
      </c>
      <c r="H154" s="43">
        <f>KA!N160</f>
        <v>0</v>
      </c>
      <c r="I154" s="43">
        <f>KA!O160</f>
        <v>0</v>
      </c>
      <c r="J154" s="43">
        <f>KA!P160</f>
        <v>0</v>
      </c>
      <c r="K154" s="43">
        <f>KA!Q160</f>
        <v>81564.160000000003</v>
      </c>
      <c r="L154" s="43">
        <f>KA!R160</f>
        <v>0</v>
      </c>
      <c r="N154" s="37" t="s">
        <v>96</v>
      </c>
      <c r="O154" s="44">
        <v>223000</v>
      </c>
      <c r="Q154" s="12"/>
    </row>
    <row r="155" spans="1:17" x14ac:dyDescent="0.25">
      <c r="A155" s="35" t="str">
        <f>KA!G161</f>
        <v>Prabhakar</v>
      </c>
      <c r="B155" s="35" t="str">
        <f>KA!H161</f>
        <v>Karnataka Poultry Farm</v>
      </c>
      <c r="C155" s="43">
        <f>KA!I161</f>
        <v>6444.4</v>
      </c>
      <c r="D155" s="43">
        <f>KA!J161</f>
        <v>0</v>
      </c>
      <c r="E155" s="43">
        <f>KA!K161</f>
        <v>0</v>
      </c>
      <c r="F155" s="43">
        <f>KA!L161</f>
        <v>0</v>
      </c>
      <c r="G155" s="43">
        <f>KA!M161</f>
        <v>0</v>
      </c>
      <c r="H155" s="43">
        <f>KA!N161</f>
        <v>0</v>
      </c>
      <c r="I155" s="43">
        <f>KA!O161</f>
        <v>0</v>
      </c>
      <c r="J155" s="43">
        <f>KA!P161</f>
        <v>0</v>
      </c>
      <c r="K155" s="43">
        <f>KA!Q161</f>
        <v>0</v>
      </c>
      <c r="L155" s="43">
        <f>KA!R161</f>
        <v>6444.4</v>
      </c>
      <c r="N155" s="37" t="s">
        <v>283</v>
      </c>
      <c r="O155" s="44">
        <v>313324.14</v>
      </c>
      <c r="Q155" s="12"/>
    </row>
    <row r="156" spans="1:17" x14ac:dyDescent="0.25">
      <c r="A156" s="35" t="str">
        <f>KA!G162</f>
        <v>Prabhakar</v>
      </c>
      <c r="B156" s="35" t="str">
        <f>KA!H162</f>
        <v>Karthik Poultry Farm</v>
      </c>
      <c r="C156" s="43">
        <f>KA!I162</f>
        <v>12000</v>
      </c>
      <c r="D156" s="43">
        <f>KA!J162</f>
        <v>0</v>
      </c>
      <c r="E156" s="43">
        <f>KA!K162</f>
        <v>0</v>
      </c>
      <c r="F156" s="43">
        <f>KA!L162</f>
        <v>0</v>
      </c>
      <c r="G156" s="43">
        <f>KA!M162</f>
        <v>0</v>
      </c>
      <c r="H156" s="43">
        <f>KA!N162</f>
        <v>0</v>
      </c>
      <c r="I156" s="43">
        <f>KA!O162</f>
        <v>0</v>
      </c>
      <c r="J156" s="43">
        <f>KA!P162</f>
        <v>0</v>
      </c>
      <c r="K156" s="43">
        <f>KA!Q162</f>
        <v>0</v>
      </c>
      <c r="L156" s="43">
        <f>KA!R162</f>
        <v>12000</v>
      </c>
      <c r="N156" s="37" t="s">
        <v>93</v>
      </c>
      <c r="O156" s="44">
        <v>1304929</v>
      </c>
      <c r="Q156" s="12"/>
    </row>
    <row r="157" spans="1:17" x14ac:dyDescent="0.25">
      <c r="A157" s="35" t="str">
        <f>KA!G163</f>
        <v>Prabhakar</v>
      </c>
      <c r="B157" s="35" t="str">
        <f>KA!H163</f>
        <v>KPR Agros Poultries Pvt Ltd</v>
      </c>
      <c r="C157" s="43">
        <f>KA!I163</f>
        <v>13602</v>
      </c>
      <c r="D157" s="43">
        <f>KA!J163</f>
        <v>0</v>
      </c>
      <c r="E157" s="43">
        <f>KA!K163</f>
        <v>0</v>
      </c>
      <c r="F157" s="43">
        <f>KA!L163</f>
        <v>0</v>
      </c>
      <c r="G157" s="43">
        <f>KA!M163</f>
        <v>0</v>
      </c>
      <c r="H157" s="43">
        <f>KA!N163</f>
        <v>0</v>
      </c>
      <c r="I157" s="43">
        <f>KA!O163</f>
        <v>0</v>
      </c>
      <c r="J157" s="43">
        <f>KA!P163</f>
        <v>0</v>
      </c>
      <c r="K157" s="43">
        <f>KA!Q163</f>
        <v>0</v>
      </c>
      <c r="L157" s="43">
        <f>KA!R163</f>
        <v>13602</v>
      </c>
      <c r="N157" s="37" t="s">
        <v>180</v>
      </c>
      <c r="O157" s="44">
        <v>40250</v>
      </c>
      <c r="Q157" s="12"/>
    </row>
    <row r="158" spans="1:17" x14ac:dyDescent="0.25">
      <c r="A158" s="35" t="str">
        <f>KA!G164</f>
        <v>Prabhakar</v>
      </c>
      <c r="B158" s="35" t="str">
        <f>KA!H164</f>
        <v>Manikyam Poultry Farm</v>
      </c>
      <c r="C158" s="43">
        <f>KA!I164</f>
        <v>47736</v>
      </c>
      <c r="D158" s="43">
        <f>KA!J164</f>
        <v>0</v>
      </c>
      <c r="E158" s="43">
        <f>KA!K164</f>
        <v>0</v>
      </c>
      <c r="F158" s="43">
        <f>KA!L164</f>
        <v>0</v>
      </c>
      <c r="G158" s="43">
        <f>KA!M164</f>
        <v>0</v>
      </c>
      <c r="H158" s="43">
        <f>KA!N164</f>
        <v>0</v>
      </c>
      <c r="I158" s="43">
        <f>KA!O164</f>
        <v>0</v>
      </c>
      <c r="J158" s="43">
        <f>KA!P164</f>
        <v>0</v>
      </c>
      <c r="K158" s="43">
        <f>KA!Q164</f>
        <v>0</v>
      </c>
      <c r="L158" s="43">
        <f>KA!R164</f>
        <v>47736</v>
      </c>
      <c r="N158" s="37" t="s">
        <v>181</v>
      </c>
      <c r="O158" s="44">
        <v>777024</v>
      </c>
      <c r="Q158" s="12"/>
    </row>
    <row r="159" spans="1:17" x14ac:dyDescent="0.25">
      <c r="A159" s="35" t="str">
        <f>KA!G165</f>
        <v>Prabhakar</v>
      </c>
      <c r="B159" s="35" t="str">
        <f>KA!H165</f>
        <v>Manju Poultry Farm</v>
      </c>
      <c r="C159" s="43">
        <f>KA!I165</f>
        <v>40000</v>
      </c>
      <c r="D159" s="43">
        <f>KA!J165</f>
        <v>0</v>
      </c>
      <c r="E159" s="43">
        <f>KA!K165</f>
        <v>0</v>
      </c>
      <c r="F159" s="43">
        <f>KA!L165</f>
        <v>0</v>
      </c>
      <c r="G159" s="43">
        <f>KA!M165</f>
        <v>0</v>
      </c>
      <c r="H159" s="43">
        <f>KA!N165</f>
        <v>0</v>
      </c>
      <c r="I159" s="43">
        <f>KA!O165</f>
        <v>0</v>
      </c>
      <c r="J159" s="43">
        <f>KA!P165</f>
        <v>0</v>
      </c>
      <c r="K159" s="43">
        <f>KA!Q165</f>
        <v>0</v>
      </c>
      <c r="L159" s="43">
        <f>KA!R165</f>
        <v>40000</v>
      </c>
      <c r="N159" s="37" t="s">
        <v>182</v>
      </c>
      <c r="O159" s="44">
        <v>153225</v>
      </c>
      <c r="Q159" s="12"/>
    </row>
    <row r="160" spans="1:17" x14ac:dyDescent="0.25">
      <c r="A160" s="35" t="str">
        <f>KA!G166</f>
        <v>Prabhakar</v>
      </c>
      <c r="B160" s="35" t="str">
        <f>KA!H166</f>
        <v>Mega Country Chicken Farm</v>
      </c>
      <c r="C160" s="43">
        <f>KA!I166</f>
        <v>19760</v>
      </c>
      <c r="D160" s="43">
        <f>KA!J166</f>
        <v>0</v>
      </c>
      <c r="E160" s="43">
        <f>KA!K166</f>
        <v>0</v>
      </c>
      <c r="F160" s="43">
        <f>KA!L166</f>
        <v>0</v>
      </c>
      <c r="G160" s="43">
        <f>KA!M166</f>
        <v>0</v>
      </c>
      <c r="H160" s="43">
        <f>KA!N166</f>
        <v>0</v>
      </c>
      <c r="I160" s="43">
        <f>KA!O166</f>
        <v>0</v>
      </c>
      <c r="J160" s="43">
        <f>KA!P166</f>
        <v>0</v>
      </c>
      <c r="K160" s="43">
        <f>KA!Q166</f>
        <v>0</v>
      </c>
      <c r="L160" s="43">
        <f>KA!R166</f>
        <v>19760</v>
      </c>
      <c r="N160" s="37" t="s">
        <v>272</v>
      </c>
      <c r="O160" s="44">
        <v>1881315</v>
      </c>
      <c r="Q160" s="12"/>
    </row>
    <row r="161" spans="1:17" x14ac:dyDescent="0.25">
      <c r="A161" s="35" t="str">
        <f>KA!G167</f>
        <v>Prabhakar</v>
      </c>
      <c r="B161" s="35" t="str">
        <f>KA!H167</f>
        <v>MRM Poultry</v>
      </c>
      <c r="C161" s="43">
        <f>KA!I167</f>
        <v>734485</v>
      </c>
      <c r="D161" s="43">
        <f>KA!J167</f>
        <v>0</v>
      </c>
      <c r="E161" s="43">
        <f>KA!K167</f>
        <v>0</v>
      </c>
      <c r="F161" s="43">
        <f>KA!L167</f>
        <v>0</v>
      </c>
      <c r="G161" s="43">
        <f>KA!M167</f>
        <v>0</v>
      </c>
      <c r="H161" s="43">
        <f>KA!N167</f>
        <v>0</v>
      </c>
      <c r="I161" s="43">
        <f>KA!O167</f>
        <v>0</v>
      </c>
      <c r="J161" s="43">
        <f>KA!P167</f>
        <v>0</v>
      </c>
      <c r="K161" s="43">
        <f>KA!Q167</f>
        <v>0</v>
      </c>
      <c r="L161" s="43">
        <f>KA!R167</f>
        <v>734485</v>
      </c>
      <c r="N161" s="37" t="s">
        <v>88</v>
      </c>
      <c r="O161" s="44">
        <v>215059</v>
      </c>
      <c r="Q161" s="12"/>
    </row>
    <row r="162" spans="1:17" x14ac:dyDescent="0.25">
      <c r="A162" s="35" t="str">
        <f>KA!G168</f>
        <v>Prabhakar</v>
      </c>
      <c r="B162" s="35" t="str">
        <f>KA!H168</f>
        <v>MSR &amp; Other Poultry Farm</v>
      </c>
      <c r="C162" s="43">
        <f>KA!I168</f>
        <v>945500</v>
      </c>
      <c r="D162" s="43">
        <f>KA!J168</f>
        <v>0</v>
      </c>
      <c r="E162" s="43">
        <f>KA!K168</f>
        <v>0</v>
      </c>
      <c r="F162" s="43">
        <f>KA!L168</f>
        <v>0</v>
      </c>
      <c r="G162" s="43">
        <f>KA!M168</f>
        <v>0</v>
      </c>
      <c r="H162" s="43">
        <f>KA!N168</f>
        <v>0</v>
      </c>
      <c r="I162" s="43">
        <f>KA!O168</f>
        <v>0</v>
      </c>
      <c r="J162" s="43">
        <f>KA!P168</f>
        <v>0</v>
      </c>
      <c r="K162" s="43">
        <f>KA!Q168</f>
        <v>945500</v>
      </c>
      <c r="L162" s="43">
        <f>KA!R168</f>
        <v>0</v>
      </c>
      <c r="N162" s="37" t="s">
        <v>89</v>
      </c>
      <c r="O162" s="44">
        <v>1330</v>
      </c>
      <c r="Q162" s="12"/>
    </row>
    <row r="163" spans="1:17" x14ac:dyDescent="0.25">
      <c r="A163" s="35" t="str">
        <f>KA!G169</f>
        <v>Prabhakar</v>
      </c>
      <c r="B163" s="35" t="str">
        <f>KA!H169</f>
        <v>M/s sri GuruThipperdra swamy poultry farm</v>
      </c>
      <c r="C163" s="43">
        <f>KA!I169</f>
        <v>6000</v>
      </c>
      <c r="D163" s="43">
        <f>KA!J169</f>
        <v>0</v>
      </c>
      <c r="E163" s="43">
        <f>KA!K169</f>
        <v>0</v>
      </c>
      <c r="F163" s="43">
        <f>KA!L169</f>
        <v>0</v>
      </c>
      <c r="G163" s="43">
        <f>KA!M169</f>
        <v>0</v>
      </c>
      <c r="H163" s="43">
        <f>KA!N169</f>
        <v>0</v>
      </c>
      <c r="I163" s="43">
        <f>KA!O169</f>
        <v>0</v>
      </c>
      <c r="J163" s="43">
        <f>KA!P169</f>
        <v>0</v>
      </c>
      <c r="K163" s="43">
        <f>KA!Q169</f>
        <v>6000</v>
      </c>
      <c r="L163" s="43">
        <f>KA!R169</f>
        <v>0</v>
      </c>
      <c r="N163" s="37" t="s">
        <v>140</v>
      </c>
      <c r="O163" s="44">
        <v>94150</v>
      </c>
      <c r="Q163" s="12"/>
    </row>
    <row r="164" spans="1:17" x14ac:dyDescent="0.25">
      <c r="A164" s="35" t="str">
        <f>KA!G170</f>
        <v>Prabhakar</v>
      </c>
      <c r="B164" s="35" t="str">
        <f>KA!H170</f>
        <v>Padmaja Farms</v>
      </c>
      <c r="C164" s="43">
        <f>KA!I170</f>
        <v>128860</v>
      </c>
      <c r="D164" s="43">
        <f>KA!J170</f>
        <v>0</v>
      </c>
      <c r="E164" s="43">
        <f>KA!K170</f>
        <v>0</v>
      </c>
      <c r="F164" s="43">
        <f>KA!L170</f>
        <v>0</v>
      </c>
      <c r="G164" s="43">
        <f>KA!M170</f>
        <v>0</v>
      </c>
      <c r="H164" s="43">
        <f>KA!N170</f>
        <v>0</v>
      </c>
      <c r="I164" s="43">
        <f>KA!O170</f>
        <v>0</v>
      </c>
      <c r="J164" s="43">
        <f>KA!P170</f>
        <v>0</v>
      </c>
      <c r="K164" s="43">
        <f>KA!Q170</f>
        <v>0</v>
      </c>
      <c r="L164" s="43">
        <f>KA!R170</f>
        <v>128860</v>
      </c>
      <c r="N164" s="37" t="s">
        <v>183</v>
      </c>
      <c r="O164" s="44">
        <v>108000</v>
      </c>
      <c r="Q164" s="12"/>
    </row>
    <row r="165" spans="1:17" x14ac:dyDescent="0.25">
      <c r="A165" s="35" t="str">
        <f>KA!G171</f>
        <v>Prabhakar</v>
      </c>
      <c r="B165" s="35" t="str">
        <f>KA!H171</f>
        <v>Raghavendra Poultry Farm</v>
      </c>
      <c r="C165" s="43">
        <f>KA!I171</f>
        <v>197000</v>
      </c>
      <c r="D165" s="43">
        <f>KA!J171</f>
        <v>0</v>
      </c>
      <c r="E165" s="43">
        <f>KA!K171</f>
        <v>0</v>
      </c>
      <c r="F165" s="43">
        <f>KA!L171</f>
        <v>0</v>
      </c>
      <c r="G165" s="43">
        <f>KA!M171</f>
        <v>0</v>
      </c>
      <c r="H165" s="43">
        <f>KA!N171</f>
        <v>0</v>
      </c>
      <c r="I165" s="43">
        <f>KA!O171</f>
        <v>0</v>
      </c>
      <c r="J165" s="43">
        <f>KA!P171</f>
        <v>0</v>
      </c>
      <c r="K165" s="43">
        <f>KA!Q171</f>
        <v>0</v>
      </c>
      <c r="L165" s="43">
        <f>KA!R171</f>
        <v>197000</v>
      </c>
      <c r="N165" s="37" t="s">
        <v>28</v>
      </c>
      <c r="O165" s="44">
        <v>62003</v>
      </c>
      <c r="Q165" s="12"/>
    </row>
    <row r="166" spans="1:17" x14ac:dyDescent="0.25">
      <c r="A166" s="35" t="str">
        <f>KA!G172</f>
        <v>Prabhakar</v>
      </c>
      <c r="B166" s="35" t="str">
        <f>KA!H172</f>
        <v>Saadhanaa Poultry Farm</v>
      </c>
      <c r="C166" s="43">
        <f>KA!I172</f>
        <v>40250</v>
      </c>
      <c r="D166" s="43">
        <f>KA!J172</f>
        <v>0</v>
      </c>
      <c r="E166" s="43">
        <f>KA!K172</f>
        <v>0</v>
      </c>
      <c r="F166" s="43">
        <f>KA!L172</f>
        <v>0</v>
      </c>
      <c r="G166" s="43">
        <f>KA!M172</f>
        <v>0</v>
      </c>
      <c r="H166" s="43">
        <f>KA!N172</f>
        <v>0</v>
      </c>
      <c r="I166" s="43">
        <f>KA!O172</f>
        <v>0</v>
      </c>
      <c r="J166" s="43">
        <f>KA!P172</f>
        <v>0</v>
      </c>
      <c r="K166" s="43">
        <f>KA!Q172</f>
        <v>0</v>
      </c>
      <c r="L166" s="43">
        <f>KA!R172</f>
        <v>40250</v>
      </c>
      <c r="N166" s="37" t="s">
        <v>27</v>
      </c>
      <c r="O166" s="44">
        <v>4590</v>
      </c>
      <c r="Q166" s="12"/>
    </row>
    <row r="167" spans="1:17" x14ac:dyDescent="0.25">
      <c r="A167" s="35" t="str">
        <f>KA!G173</f>
        <v>Prabhakar</v>
      </c>
      <c r="B167" s="35" t="str">
        <f>KA!H173</f>
        <v>Sahana Poultry Farm</v>
      </c>
      <c r="C167" s="43">
        <f>KA!I173</f>
        <v>777024</v>
      </c>
      <c r="D167" s="43">
        <f>KA!J173</f>
        <v>0</v>
      </c>
      <c r="E167" s="43">
        <f>KA!K173</f>
        <v>0</v>
      </c>
      <c r="F167" s="43">
        <f>KA!L173</f>
        <v>0</v>
      </c>
      <c r="G167" s="43">
        <f>KA!M173</f>
        <v>0</v>
      </c>
      <c r="H167" s="43">
        <f>KA!N173</f>
        <v>0</v>
      </c>
      <c r="I167" s="43">
        <f>KA!O173</f>
        <v>0</v>
      </c>
      <c r="J167" s="43">
        <f>KA!P173</f>
        <v>0</v>
      </c>
      <c r="K167" s="43">
        <f>KA!Q173</f>
        <v>0</v>
      </c>
      <c r="L167" s="43">
        <f>KA!R173</f>
        <v>777024</v>
      </c>
      <c r="N167" s="37" t="s">
        <v>90</v>
      </c>
      <c r="O167" s="44">
        <v>241849</v>
      </c>
      <c r="Q167" s="12"/>
    </row>
    <row r="168" spans="1:17" x14ac:dyDescent="0.25">
      <c r="A168" s="35" t="str">
        <f>KA!G174</f>
        <v>Prabhakar</v>
      </c>
      <c r="B168" s="35" t="str">
        <f>KA!H174</f>
        <v>Sai Krupa Agencies</v>
      </c>
      <c r="C168" s="43">
        <f>KA!I174</f>
        <v>153225</v>
      </c>
      <c r="D168" s="43">
        <f>KA!J174</f>
        <v>0</v>
      </c>
      <c r="E168" s="43">
        <f>KA!K174</f>
        <v>0</v>
      </c>
      <c r="F168" s="43">
        <f>KA!L174</f>
        <v>0</v>
      </c>
      <c r="G168" s="43">
        <f>KA!M174</f>
        <v>0</v>
      </c>
      <c r="H168" s="43">
        <f>KA!N174</f>
        <v>0</v>
      </c>
      <c r="I168" s="43">
        <f>KA!O174</f>
        <v>0</v>
      </c>
      <c r="J168" s="43">
        <f>KA!P174</f>
        <v>0</v>
      </c>
      <c r="K168" s="43">
        <f>KA!Q174</f>
        <v>153225</v>
      </c>
      <c r="L168" s="43">
        <f>KA!R174</f>
        <v>0</v>
      </c>
      <c r="N168" s="37" t="s">
        <v>91</v>
      </c>
      <c r="O168" s="44">
        <v>356899</v>
      </c>
      <c r="Q168" s="12"/>
    </row>
    <row r="169" spans="1:17" x14ac:dyDescent="0.25">
      <c r="A169" s="35" t="str">
        <f>KA!G175</f>
        <v>Prabhakar</v>
      </c>
      <c r="B169" s="35" t="str">
        <f>KA!H175</f>
        <v>Sandya Poultry Farm</v>
      </c>
      <c r="C169" s="43">
        <f>KA!I175</f>
        <v>108000</v>
      </c>
      <c r="D169" s="43">
        <f>KA!J175</f>
        <v>0</v>
      </c>
      <c r="E169" s="43">
        <f>KA!K175</f>
        <v>0</v>
      </c>
      <c r="F169" s="43">
        <f>KA!L175</f>
        <v>0</v>
      </c>
      <c r="G169" s="43">
        <f>KA!M175</f>
        <v>0</v>
      </c>
      <c r="H169" s="43">
        <f>KA!N175</f>
        <v>0</v>
      </c>
      <c r="I169" s="43">
        <f>KA!O175</f>
        <v>0</v>
      </c>
      <c r="J169" s="43">
        <f>KA!P175</f>
        <v>0</v>
      </c>
      <c r="K169" s="43">
        <f>KA!Q175</f>
        <v>0</v>
      </c>
      <c r="L169" s="43">
        <f>KA!R175</f>
        <v>108000</v>
      </c>
      <c r="N169" s="37" t="s">
        <v>141</v>
      </c>
      <c r="O169" s="44">
        <v>7750</v>
      </c>
      <c r="Q169" s="12"/>
    </row>
    <row r="170" spans="1:17" x14ac:dyDescent="0.25">
      <c r="A170" s="35" t="str">
        <f>KA!G176</f>
        <v>Prabhakar</v>
      </c>
      <c r="B170" s="35" t="str">
        <f>KA!H176</f>
        <v>Shashidhara Poultry Form</v>
      </c>
      <c r="C170" s="43">
        <f>KA!I176</f>
        <v>50600</v>
      </c>
      <c r="D170" s="43">
        <f>KA!J176</f>
        <v>0</v>
      </c>
      <c r="E170" s="43">
        <f>KA!K176</f>
        <v>0</v>
      </c>
      <c r="F170" s="43">
        <f>KA!L176</f>
        <v>0</v>
      </c>
      <c r="G170" s="43">
        <f>KA!M176</f>
        <v>0</v>
      </c>
      <c r="H170" s="43">
        <f>KA!N176</f>
        <v>0</v>
      </c>
      <c r="I170" s="43">
        <f>KA!O176</f>
        <v>0</v>
      </c>
      <c r="J170" s="43">
        <f>KA!P176</f>
        <v>0</v>
      </c>
      <c r="K170" s="43">
        <f>KA!Q176</f>
        <v>50600</v>
      </c>
      <c r="L170" s="43">
        <f>KA!R176</f>
        <v>0</v>
      </c>
      <c r="N170" s="37" t="s">
        <v>29</v>
      </c>
      <c r="O170" s="44">
        <v>22780</v>
      </c>
      <c r="Q170" s="12"/>
    </row>
    <row r="171" spans="1:17" x14ac:dyDescent="0.25">
      <c r="A171" s="35" t="str">
        <f>KA!G177</f>
        <v>Prabhakar</v>
      </c>
      <c r="B171" s="35" t="str">
        <f>KA!H177</f>
        <v>Shri Lakshmi Narasimha PF</v>
      </c>
      <c r="C171" s="43">
        <f>KA!I177</f>
        <v>47800</v>
      </c>
      <c r="D171" s="43">
        <f>KA!J177</f>
        <v>0</v>
      </c>
      <c r="E171" s="43">
        <f>KA!K177</f>
        <v>0</v>
      </c>
      <c r="F171" s="43">
        <f>KA!L177</f>
        <v>0</v>
      </c>
      <c r="G171" s="43">
        <f>KA!M177</f>
        <v>0</v>
      </c>
      <c r="H171" s="43">
        <f>KA!N177</f>
        <v>0</v>
      </c>
      <c r="I171" s="43">
        <f>KA!O177</f>
        <v>0</v>
      </c>
      <c r="J171" s="43">
        <f>KA!P177</f>
        <v>0</v>
      </c>
      <c r="K171" s="43">
        <f>KA!Q177</f>
        <v>0</v>
      </c>
      <c r="L171" s="43">
        <f>KA!R177</f>
        <v>47800</v>
      </c>
      <c r="N171" s="37" t="s">
        <v>184</v>
      </c>
      <c r="O171" s="44">
        <v>75494</v>
      </c>
      <c r="Q171" s="12"/>
    </row>
    <row r="172" spans="1:17" x14ac:dyDescent="0.25">
      <c r="A172" s="35" t="str">
        <f>KA!G178</f>
        <v>Prabhakar</v>
      </c>
      <c r="B172" s="35" t="str">
        <f>KA!H178</f>
        <v>Shri Vishnu Distributors</v>
      </c>
      <c r="C172" s="43">
        <f>KA!I178</f>
        <v>68000</v>
      </c>
      <c r="D172" s="43">
        <f>KA!J178</f>
        <v>0</v>
      </c>
      <c r="E172" s="43">
        <f>KA!K178</f>
        <v>0</v>
      </c>
      <c r="F172" s="43">
        <f>KA!L178</f>
        <v>0</v>
      </c>
      <c r="G172" s="43">
        <f>KA!M178</f>
        <v>0</v>
      </c>
      <c r="H172" s="43">
        <f>KA!N178</f>
        <v>0</v>
      </c>
      <c r="I172" s="43">
        <f>KA!O178</f>
        <v>0</v>
      </c>
      <c r="J172" s="43">
        <f>KA!P178</f>
        <v>0</v>
      </c>
      <c r="K172" s="43">
        <f>KA!Q178</f>
        <v>0</v>
      </c>
      <c r="L172" s="43">
        <f>KA!R178</f>
        <v>68000</v>
      </c>
      <c r="N172" s="37" t="s">
        <v>295</v>
      </c>
      <c r="O172" s="44">
        <v>985733</v>
      </c>
      <c r="Q172" s="12"/>
    </row>
    <row r="173" spans="1:17" x14ac:dyDescent="0.25">
      <c r="A173" s="35" t="str">
        <f>KA!G179</f>
        <v>Prabhakar</v>
      </c>
      <c r="B173" s="35" t="str">
        <f>KA!H179</f>
        <v>Sree Kalleswara Poultry Farm</v>
      </c>
      <c r="C173" s="43">
        <f>KA!I179</f>
        <v>168000</v>
      </c>
      <c r="D173" s="43">
        <f>KA!J179</f>
        <v>0</v>
      </c>
      <c r="E173" s="43">
        <f>KA!K179</f>
        <v>0</v>
      </c>
      <c r="F173" s="43">
        <f>KA!L179</f>
        <v>0</v>
      </c>
      <c r="G173" s="43">
        <f>KA!M179</f>
        <v>0</v>
      </c>
      <c r="H173" s="43">
        <f>KA!N179</f>
        <v>0</v>
      </c>
      <c r="I173" s="43">
        <f>KA!O179</f>
        <v>0</v>
      </c>
      <c r="J173" s="43">
        <f>KA!P179</f>
        <v>0</v>
      </c>
      <c r="K173" s="43">
        <f>KA!Q179</f>
        <v>168000</v>
      </c>
      <c r="L173" s="43">
        <f>KA!R179</f>
        <v>0</v>
      </c>
      <c r="N173" s="37" t="s">
        <v>142</v>
      </c>
      <c r="O173" s="44">
        <v>56826</v>
      </c>
      <c r="Q173" s="12"/>
    </row>
    <row r="174" spans="1:17" x14ac:dyDescent="0.25">
      <c r="A174" s="35" t="str">
        <f>KA!G180</f>
        <v>Prabhakar</v>
      </c>
      <c r="B174" s="35" t="str">
        <f>KA!H180</f>
        <v>Sree Ram Poultry Farm</v>
      </c>
      <c r="C174" s="43">
        <f>KA!I180</f>
        <v>104500</v>
      </c>
      <c r="D174" s="43">
        <f>KA!J180</f>
        <v>0</v>
      </c>
      <c r="E174" s="43">
        <f>KA!K180</f>
        <v>0</v>
      </c>
      <c r="F174" s="43">
        <f>KA!L180</f>
        <v>0</v>
      </c>
      <c r="G174" s="43">
        <f>KA!M180</f>
        <v>0</v>
      </c>
      <c r="H174" s="43">
        <f>KA!N180</f>
        <v>0</v>
      </c>
      <c r="I174" s="43">
        <f>KA!O180</f>
        <v>0</v>
      </c>
      <c r="J174" s="43">
        <f>KA!P180</f>
        <v>0</v>
      </c>
      <c r="K174" s="43">
        <f>KA!Q180</f>
        <v>0</v>
      </c>
      <c r="L174" s="43">
        <f>KA!R180</f>
        <v>104500</v>
      </c>
      <c r="N174" s="37" t="s">
        <v>30</v>
      </c>
      <c r="O174" s="44">
        <v>113005</v>
      </c>
      <c r="Q174" s="12"/>
    </row>
    <row r="175" spans="1:17" x14ac:dyDescent="0.25">
      <c r="A175" s="35" t="str">
        <f>KA!G181</f>
        <v>Prabhakar</v>
      </c>
      <c r="B175" s="35" t="str">
        <f>KA!H181</f>
        <v>Sree Sai Poultry Farm</v>
      </c>
      <c r="C175" s="43">
        <f>KA!I181</f>
        <v>460909</v>
      </c>
      <c r="D175" s="43">
        <f>KA!J181</f>
        <v>0</v>
      </c>
      <c r="E175" s="43">
        <f>KA!K181</f>
        <v>0</v>
      </c>
      <c r="F175" s="43">
        <f>KA!L181</f>
        <v>0</v>
      </c>
      <c r="G175" s="43">
        <f>KA!M181</f>
        <v>0</v>
      </c>
      <c r="H175" s="43">
        <f>KA!N181</f>
        <v>0</v>
      </c>
      <c r="I175" s="43">
        <f>KA!O181</f>
        <v>0</v>
      </c>
      <c r="J175" s="43">
        <f>KA!P181</f>
        <v>0</v>
      </c>
      <c r="K175" s="43">
        <f>KA!Q181</f>
        <v>0</v>
      </c>
      <c r="L175" s="43">
        <f>KA!R181</f>
        <v>460909</v>
      </c>
      <c r="N175" s="37" t="s">
        <v>94</v>
      </c>
      <c r="O175" s="44">
        <v>874075</v>
      </c>
      <c r="Q175" s="12"/>
    </row>
    <row r="176" spans="1:17" x14ac:dyDescent="0.25">
      <c r="A176" s="35" t="str">
        <f>KA!G182</f>
        <v>Prabhakar</v>
      </c>
      <c r="B176" s="35" t="str">
        <f>KA!H182</f>
        <v>Sree Vinayaka Poultry Farm</v>
      </c>
      <c r="C176" s="43">
        <f>KA!I182</f>
        <v>25200</v>
      </c>
      <c r="D176" s="43">
        <f>KA!J182</f>
        <v>0</v>
      </c>
      <c r="E176" s="43">
        <f>KA!K182</f>
        <v>0</v>
      </c>
      <c r="F176" s="43">
        <f>KA!L182</f>
        <v>0</v>
      </c>
      <c r="G176" s="43">
        <f>KA!M182</f>
        <v>0</v>
      </c>
      <c r="H176" s="43">
        <f>KA!N182</f>
        <v>0</v>
      </c>
      <c r="I176" s="43">
        <f>KA!O182</f>
        <v>0</v>
      </c>
      <c r="J176" s="43">
        <f>KA!P182</f>
        <v>0</v>
      </c>
      <c r="K176" s="43">
        <f>KA!Q182</f>
        <v>0</v>
      </c>
      <c r="L176" s="43">
        <f>KA!R182</f>
        <v>25200</v>
      </c>
      <c r="N176" s="37" t="s">
        <v>185</v>
      </c>
      <c r="O176" s="44">
        <v>50600</v>
      </c>
      <c r="Q176" s="12">
        <f>VLOOKUP(N176,'SD with Cr bal'!$D$3:$E$99,2,0)</f>
        <v>10920</v>
      </c>
    </row>
    <row r="177" spans="1:17" x14ac:dyDescent="0.25">
      <c r="A177" s="35" t="str">
        <f>KA!G183</f>
        <v>Prabhakar</v>
      </c>
      <c r="B177" s="35" t="str">
        <f>KA!H183</f>
        <v>Sri Hamika Poultry Farm</v>
      </c>
      <c r="C177" s="43">
        <f>KA!I183</f>
        <v>735000</v>
      </c>
      <c r="D177" s="43">
        <f>KA!J183</f>
        <v>0</v>
      </c>
      <c r="E177" s="43">
        <f>KA!K183</f>
        <v>0</v>
      </c>
      <c r="F177" s="43">
        <f>KA!L183</f>
        <v>0</v>
      </c>
      <c r="G177" s="43">
        <f>KA!M183</f>
        <v>0</v>
      </c>
      <c r="H177" s="43">
        <f>KA!N183</f>
        <v>0</v>
      </c>
      <c r="I177" s="43">
        <f>KA!O183</f>
        <v>0</v>
      </c>
      <c r="J177" s="43">
        <f>KA!P183</f>
        <v>0</v>
      </c>
      <c r="K177" s="43">
        <f>KA!Q183</f>
        <v>0</v>
      </c>
      <c r="L177" s="43">
        <f>KA!R183</f>
        <v>735000</v>
      </c>
      <c r="N177" s="37" t="s">
        <v>204</v>
      </c>
      <c r="O177" s="44">
        <v>16700</v>
      </c>
      <c r="Q177" s="12"/>
    </row>
    <row r="178" spans="1:17" x14ac:dyDescent="0.25">
      <c r="A178" s="35" t="str">
        <f>KA!G184</f>
        <v>Prabhakar</v>
      </c>
      <c r="B178" s="35" t="str">
        <f>KA!H184</f>
        <v>Sri Laxmi Poultry Farm</v>
      </c>
      <c r="C178" s="43">
        <f>KA!I184</f>
        <v>170000</v>
      </c>
      <c r="D178" s="43">
        <f>KA!J184</f>
        <v>0</v>
      </c>
      <c r="E178" s="43">
        <f>KA!K184</f>
        <v>0</v>
      </c>
      <c r="F178" s="43">
        <f>KA!L184</f>
        <v>0</v>
      </c>
      <c r="G178" s="43">
        <f>KA!M184</f>
        <v>0</v>
      </c>
      <c r="H178" s="43">
        <f>KA!N184</f>
        <v>0</v>
      </c>
      <c r="I178" s="43">
        <f>KA!O184</f>
        <v>0</v>
      </c>
      <c r="J178" s="43">
        <f>KA!P184</f>
        <v>0</v>
      </c>
      <c r="K178" s="43">
        <f>KA!Q184</f>
        <v>0</v>
      </c>
      <c r="L178" s="43">
        <f>KA!R184</f>
        <v>170000</v>
      </c>
      <c r="N178" s="37" t="s">
        <v>232</v>
      </c>
      <c r="O178" s="44">
        <v>5742269.7800000003</v>
      </c>
      <c r="Q178" s="12"/>
    </row>
    <row r="179" spans="1:17" x14ac:dyDescent="0.25">
      <c r="A179" s="35" t="str">
        <f>KA!G185</f>
        <v>Prabhakar</v>
      </c>
      <c r="B179" s="35" t="str">
        <f>KA!H185</f>
        <v>Sri Madhu Poultry Farm</v>
      </c>
      <c r="C179" s="43">
        <f>KA!I185</f>
        <v>321000</v>
      </c>
      <c r="D179" s="43">
        <f>KA!J185</f>
        <v>0</v>
      </c>
      <c r="E179" s="43">
        <f>KA!K185</f>
        <v>0</v>
      </c>
      <c r="F179" s="43">
        <f>KA!L185</f>
        <v>0</v>
      </c>
      <c r="G179" s="43">
        <f>KA!M185</f>
        <v>0</v>
      </c>
      <c r="H179" s="43">
        <f>KA!N185</f>
        <v>0</v>
      </c>
      <c r="I179" s="43">
        <f>KA!O185</f>
        <v>0</v>
      </c>
      <c r="J179" s="43">
        <f>KA!P185</f>
        <v>0</v>
      </c>
      <c r="K179" s="43">
        <f>KA!Q185</f>
        <v>321000</v>
      </c>
      <c r="L179" s="43">
        <f>KA!R185</f>
        <v>0</v>
      </c>
      <c r="N179" s="37" t="s">
        <v>95</v>
      </c>
      <c r="O179" s="44">
        <v>18295</v>
      </c>
      <c r="Q179" s="12"/>
    </row>
    <row r="180" spans="1:17" x14ac:dyDescent="0.25">
      <c r="A180" s="35" t="str">
        <f>KA!G186</f>
        <v>Prabhakar</v>
      </c>
      <c r="B180" s="35" t="str">
        <f>KA!H186</f>
        <v>Swathi Poultry Farm</v>
      </c>
      <c r="C180" s="43">
        <f>KA!I186</f>
        <v>585000</v>
      </c>
      <c r="D180" s="43">
        <f>KA!J186</f>
        <v>0</v>
      </c>
      <c r="E180" s="43">
        <f>KA!K186</f>
        <v>0</v>
      </c>
      <c r="F180" s="43">
        <f>KA!L186</f>
        <v>0</v>
      </c>
      <c r="G180" s="43">
        <f>KA!M186</f>
        <v>0</v>
      </c>
      <c r="H180" s="43">
        <f>KA!N186</f>
        <v>0</v>
      </c>
      <c r="I180" s="43">
        <f>KA!O186</f>
        <v>0</v>
      </c>
      <c r="J180" s="43">
        <f>KA!P186</f>
        <v>0</v>
      </c>
      <c r="K180" s="43">
        <f>KA!Q186</f>
        <v>0</v>
      </c>
      <c r="L180" s="43">
        <f>KA!R186</f>
        <v>585000</v>
      </c>
      <c r="N180" s="37" t="s">
        <v>150</v>
      </c>
      <c r="O180" s="44">
        <v>342500</v>
      </c>
      <c r="Q180" s="12"/>
    </row>
    <row r="181" spans="1:17" x14ac:dyDescent="0.25">
      <c r="A181" s="35" t="str">
        <f>KA!G187</f>
        <v>Prabhakar</v>
      </c>
      <c r="B181" s="35" t="str">
        <f>KA!H187</f>
        <v>Venkatalakshmi Poultry Farm</v>
      </c>
      <c r="C181" s="43">
        <f>KA!I187</f>
        <v>11500</v>
      </c>
      <c r="D181" s="43">
        <f>KA!J187</f>
        <v>0</v>
      </c>
      <c r="E181" s="43">
        <f>KA!K187</f>
        <v>0</v>
      </c>
      <c r="F181" s="43">
        <f>KA!L187</f>
        <v>0</v>
      </c>
      <c r="G181" s="43">
        <f>KA!M187</f>
        <v>0</v>
      </c>
      <c r="H181" s="43">
        <f>KA!N187</f>
        <v>0</v>
      </c>
      <c r="I181" s="43">
        <f>KA!O187</f>
        <v>0</v>
      </c>
      <c r="J181" s="43">
        <f>KA!P187</f>
        <v>0</v>
      </c>
      <c r="K181" s="43">
        <f>KA!Q187</f>
        <v>11500</v>
      </c>
      <c r="L181" s="43">
        <f>KA!R187</f>
        <v>0</v>
      </c>
      <c r="N181" s="37" t="s">
        <v>156</v>
      </c>
      <c r="O181" s="44">
        <v>67800</v>
      </c>
      <c r="Q181" s="12"/>
    </row>
    <row r="182" spans="1:17" x14ac:dyDescent="0.25">
      <c r="A182" s="35" t="str">
        <f>KA!G191</f>
        <v>Direct - Inactive</v>
      </c>
      <c r="B182" s="35" t="str">
        <f>KA!H191</f>
        <v>Hunter Chicken &amp; Eggs India (OPC) Pvt Ltd</v>
      </c>
      <c r="C182" s="43">
        <f>KA!I191</f>
        <v>1365400</v>
      </c>
      <c r="D182" s="43">
        <f>KA!J191</f>
        <v>0</v>
      </c>
      <c r="E182" s="43">
        <f>KA!K191</f>
        <v>0</v>
      </c>
      <c r="F182" s="43">
        <f>KA!L191</f>
        <v>0</v>
      </c>
      <c r="G182" s="43">
        <f>KA!M191</f>
        <v>0</v>
      </c>
      <c r="H182" s="43">
        <f>KA!N191</f>
        <v>0</v>
      </c>
      <c r="I182" s="43">
        <f>KA!O191</f>
        <v>0</v>
      </c>
      <c r="J182" s="43">
        <f>KA!P191</f>
        <v>0</v>
      </c>
      <c r="K182" s="43">
        <f>KA!Q191</f>
        <v>0</v>
      </c>
      <c r="L182" s="43">
        <f>KA!R191</f>
        <v>1365400</v>
      </c>
      <c r="N182" s="37" t="s">
        <v>186</v>
      </c>
      <c r="O182" s="44">
        <v>68000</v>
      </c>
      <c r="Q182" s="12"/>
    </row>
    <row r="183" spans="1:17" x14ac:dyDescent="0.25">
      <c r="A183" s="35" t="str">
        <f>KA!G192</f>
        <v>Direct - Inactive</v>
      </c>
      <c r="B183" s="35" t="str">
        <f>KA!H192</f>
        <v>Principal Investigator,Hebbal</v>
      </c>
      <c r="C183" s="43">
        <f>KA!I192</f>
        <v>46500</v>
      </c>
      <c r="D183" s="43">
        <f>KA!J192</f>
        <v>0</v>
      </c>
      <c r="E183" s="43">
        <f>KA!K192</f>
        <v>0</v>
      </c>
      <c r="F183" s="43">
        <f>KA!L192</f>
        <v>0</v>
      </c>
      <c r="G183" s="43">
        <f>KA!M192</f>
        <v>0</v>
      </c>
      <c r="H183" s="43">
        <f>KA!N192</f>
        <v>0</v>
      </c>
      <c r="I183" s="43">
        <f>KA!O192</f>
        <v>0</v>
      </c>
      <c r="J183" s="43">
        <f>KA!P192</f>
        <v>0</v>
      </c>
      <c r="K183" s="43">
        <f>KA!Q192</f>
        <v>1316</v>
      </c>
      <c r="L183" s="43">
        <f>KA!R192</f>
        <v>45184</v>
      </c>
      <c r="N183" s="37" t="s">
        <v>31</v>
      </c>
      <c r="O183" s="44">
        <v>795</v>
      </c>
      <c r="Q183" s="12"/>
    </row>
    <row r="184" spans="1:17" x14ac:dyDescent="0.25">
      <c r="A184" s="35" t="str">
        <f>KA!G193</f>
        <v>Direct - Inactive</v>
      </c>
      <c r="B184" s="35" t="str">
        <f>KA!H193</f>
        <v>Professor and Head</v>
      </c>
      <c r="C184" s="43">
        <f>KA!I193</f>
        <v>5780</v>
      </c>
      <c r="D184" s="43">
        <f>KA!J193</f>
        <v>0</v>
      </c>
      <c r="E184" s="43">
        <f>KA!K193</f>
        <v>0</v>
      </c>
      <c r="F184" s="43">
        <f>KA!L193</f>
        <v>0</v>
      </c>
      <c r="G184" s="43">
        <f>KA!M193</f>
        <v>0</v>
      </c>
      <c r="H184" s="43">
        <f>KA!N193</f>
        <v>0</v>
      </c>
      <c r="I184" s="43">
        <f>KA!O193</f>
        <v>0</v>
      </c>
      <c r="J184" s="43">
        <f>KA!P193</f>
        <v>0</v>
      </c>
      <c r="K184" s="43">
        <f>KA!Q193</f>
        <v>5780</v>
      </c>
      <c r="L184" s="43">
        <f>KA!R193</f>
        <v>0</v>
      </c>
      <c r="N184" s="37" t="s">
        <v>274</v>
      </c>
      <c r="O184" s="44">
        <v>650299</v>
      </c>
      <c r="Q184" s="12"/>
    </row>
    <row r="185" spans="1:17" x14ac:dyDescent="0.25">
      <c r="A185" s="35" t="str">
        <f>KA!G194</f>
        <v>Direct - Inactive</v>
      </c>
      <c r="B185" s="35" t="str">
        <f>KA!H194</f>
        <v>Srinivasa Poultry Farm-Nandi Cross</v>
      </c>
      <c r="C185" s="43">
        <f>KA!I194</f>
        <v>271000</v>
      </c>
      <c r="D185" s="43">
        <f>KA!J194</f>
        <v>0</v>
      </c>
      <c r="E185" s="43">
        <f>KA!K194</f>
        <v>0</v>
      </c>
      <c r="F185" s="43">
        <f>KA!L194</f>
        <v>0</v>
      </c>
      <c r="G185" s="43">
        <f>KA!M194</f>
        <v>0</v>
      </c>
      <c r="H185" s="43">
        <f>KA!N194</f>
        <v>0</v>
      </c>
      <c r="I185" s="43">
        <f>KA!O194</f>
        <v>0</v>
      </c>
      <c r="J185" s="43">
        <f>KA!P194</f>
        <v>0</v>
      </c>
      <c r="K185" s="43">
        <f>KA!Q194</f>
        <v>0</v>
      </c>
      <c r="L185" s="43">
        <f>KA!R194</f>
        <v>271000</v>
      </c>
      <c r="N185" s="37" t="s">
        <v>275</v>
      </c>
      <c r="O185" s="44">
        <v>1842785</v>
      </c>
      <c r="Q185" s="12"/>
    </row>
    <row r="186" spans="1:17" x14ac:dyDescent="0.25">
      <c r="A186" s="35" t="str">
        <f>KA!G195</f>
        <v>Direct - Inactive</v>
      </c>
      <c r="B186" s="35" t="str">
        <f>KA!H195</f>
        <v>Sumedha Broiler Farms</v>
      </c>
      <c r="C186" s="43">
        <f>KA!I195</f>
        <v>8462755</v>
      </c>
      <c r="D186" s="43">
        <f>KA!J195</f>
        <v>0</v>
      </c>
      <c r="E186" s="43">
        <f>KA!K195</f>
        <v>0</v>
      </c>
      <c r="F186" s="43">
        <f>KA!L195</f>
        <v>0</v>
      </c>
      <c r="G186" s="43">
        <f>KA!M195</f>
        <v>0</v>
      </c>
      <c r="H186" s="43">
        <f>KA!N195</f>
        <v>0</v>
      </c>
      <c r="I186" s="43">
        <f>KA!O195</f>
        <v>0</v>
      </c>
      <c r="J186" s="43">
        <f>KA!P195</f>
        <v>0</v>
      </c>
      <c r="K186" s="43">
        <f>KA!Q195</f>
        <v>1</v>
      </c>
      <c r="L186" s="43">
        <f>KA!R195</f>
        <v>8462754</v>
      </c>
      <c r="N186" s="37" t="s">
        <v>276</v>
      </c>
      <c r="O186" s="44">
        <v>199836</v>
      </c>
      <c r="Q186" s="12"/>
    </row>
    <row r="187" spans="1:17" x14ac:dyDescent="0.25">
      <c r="A187" s="35" t="str">
        <f>KA!G196</f>
        <v>Direct - Inactive</v>
      </c>
      <c r="B187" s="35" t="str">
        <f>KA!H196</f>
        <v>Sumukha Farm</v>
      </c>
      <c r="C187" s="43">
        <f>KA!I196</f>
        <v>25950</v>
      </c>
      <c r="D187" s="43">
        <f>KA!J196</f>
        <v>0</v>
      </c>
      <c r="E187" s="43">
        <f>KA!K196</f>
        <v>0</v>
      </c>
      <c r="F187" s="43">
        <f>KA!L196</f>
        <v>0</v>
      </c>
      <c r="G187" s="43">
        <f>KA!M196</f>
        <v>0</v>
      </c>
      <c r="H187" s="43">
        <f>KA!N196</f>
        <v>0</v>
      </c>
      <c r="I187" s="43">
        <f>KA!O196</f>
        <v>0</v>
      </c>
      <c r="J187" s="43">
        <f>KA!P196</f>
        <v>0</v>
      </c>
      <c r="K187" s="43">
        <f>KA!Q196</f>
        <v>0</v>
      </c>
      <c r="L187" s="43">
        <f>KA!R196</f>
        <v>25950</v>
      </c>
      <c r="N187" s="37" t="s">
        <v>277</v>
      </c>
      <c r="O187" s="44">
        <v>106034.36</v>
      </c>
      <c r="Q187" s="12"/>
    </row>
    <row r="188" spans="1:17" x14ac:dyDescent="0.25">
      <c r="A188" s="35" t="str">
        <f>KA!G197</f>
        <v>Direct - Inactive</v>
      </c>
      <c r="B188" s="35" t="str">
        <f>KA!H197</f>
        <v>The Dean (Vety)</v>
      </c>
      <c r="C188" s="43">
        <f>KA!I197</f>
        <v>1300</v>
      </c>
      <c r="D188" s="43">
        <f>KA!J197</f>
        <v>0</v>
      </c>
      <c r="E188" s="43">
        <f>KA!K197</f>
        <v>0</v>
      </c>
      <c r="F188" s="43">
        <f>KA!L197</f>
        <v>0</v>
      </c>
      <c r="G188" s="43">
        <f>KA!M197</f>
        <v>0</v>
      </c>
      <c r="H188" s="43">
        <f>KA!N197</f>
        <v>0</v>
      </c>
      <c r="I188" s="43">
        <f>KA!O197</f>
        <v>0</v>
      </c>
      <c r="J188" s="43">
        <f>KA!P197</f>
        <v>0</v>
      </c>
      <c r="K188" s="43">
        <f>KA!Q197</f>
        <v>1300</v>
      </c>
      <c r="L188" s="43">
        <f>KA!R197</f>
        <v>0</v>
      </c>
      <c r="N188" s="37" t="s">
        <v>117</v>
      </c>
      <c r="O188" s="44">
        <v>5950</v>
      </c>
      <c r="Q188" s="12"/>
    </row>
    <row r="189" spans="1:17" x14ac:dyDescent="0.25">
      <c r="A189" s="35" t="str">
        <f>KA!G198</f>
        <v>G Chandra Sekhar</v>
      </c>
      <c r="B189" s="35" t="str">
        <f>KA!H198</f>
        <v>Balaji Poultry Farm</v>
      </c>
      <c r="C189" s="43">
        <f>KA!I198</f>
        <v>4000</v>
      </c>
      <c r="D189" s="43">
        <f>KA!J198</f>
        <v>4000</v>
      </c>
      <c r="E189" s="43">
        <f>KA!K198</f>
        <v>0</v>
      </c>
      <c r="F189" s="43">
        <f>KA!L198</f>
        <v>0</v>
      </c>
      <c r="G189" s="43">
        <f>KA!M198</f>
        <v>0</v>
      </c>
      <c r="H189" s="43">
        <f>KA!N198</f>
        <v>0</v>
      </c>
      <c r="I189" s="43">
        <f>KA!O198</f>
        <v>0</v>
      </c>
      <c r="J189" s="43">
        <f>KA!P198</f>
        <v>0</v>
      </c>
      <c r="K189" s="43">
        <f>KA!Q198</f>
        <v>0</v>
      </c>
      <c r="L189" s="43">
        <f>KA!R198</f>
        <v>0</v>
      </c>
      <c r="N189" s="37" t="s">
        <v>205</v>
      </c>
      <c r="O189" s="44">
        <v>12000</v>
      </c>
      <c r="Q189" s="12"/>
    </row>
    <row r="190" spans="1:17" x14ac:dyDescent="0.25">
      <c r="A190" s="35" t="str">
        <f>KA!G199</f>
        <v>G Chandra Sekhar</v>
      </c>
      <c r="B190" s="35" t="str">
        <f>KA!H199</f>
        <v>M/s Sri Guru Poultry Farm</v>
      </c>
      <c r="C190" s="43">
        <f>KA!I199</f>
        <v>28200</v>
      </c>
      <c r="D190" s="43">
        <f>KA!J199</f>
        <v>0</v>
      </c>
      <c r="E190" s="43">
        <f>KA!K199</f>
        <v>0</v>
      </c>
      <c r="F190" s="43">
        <f>KA!L199</f>
        <v>0</v>
      </c>
      <c r="G190" s="43">
        <f>KA!M199</f>
        <v>0</v>
      </c>
      <c r="H190" s="43">
        <f>KA!N199</f>
        <v>0</v>
      </c>
      <c r="I190" s="43">
        <f>KA!O199</f>
        <v>28200</v>
      </c>
      <c r="J190" s="43">
        <f>KA!P199</f>
        <v>0</v>
      </c>
      <c r="K190" s="43">
        <f>KA!Q199</f>
        <v>0</v>
      </c>
      <c r="L190" s="43">
        <f>KA!R199</f>
        <v>0</v>
      </c>
      <c r="N190" s="37" t="s">
        <v>233</v>
      </c>
      <c r="O190" s="44">
        <v>812230.48</v>
      </c>
      <c r="Q190" s="12"/>
    </row>
    <row r="191" spans="1:17" x14ac:dyDescent="0.25">
      <c r="A191" s="35" t="str">
        <f>KA!G200</f>
        <v>Lavanya</v>
      </c>
      <c r="B191" s="35" t="str">
        <f>KA!H200</f>
        <v>Buruju Gangamma Poultry Farm</v>
      </c>
      <c r="C191" s="43">
        <f>KA!I200</f>
        <v>1155050</v>
      </c>
      <c r="D191" s="43">
        <f>KA!J200</f>
        <v>1155050</v>
      </c>
      <c r="E191" s="43">
        <f>KA!K200</f>
        <v>0</v>
      </c>
      <c r="F191" s="43">
        <f>KA!L200</f>
        <v>0</v>
      </c>
      <c r="G191" s="43">
        <f>KA!M200</f>
        <v>0</v>
      </c>
      <c r="H191" s="43">
        <f>KA!N200</f>
        <v>0</v>
      </c>
      <c r="I191" s="43">
        <f>KA!O200</f>
        <v>0</v>
      </c>
      <c r="J191" s="43">
        <f>KA!P200</f>
        <v>0</v>
      </c>
      <c r="K191" s="43">
        <f>KA!Q200</f>
        <v>0</v>
      </c>
      <c r="L191" s="43">
        <f>KA!R200</f>
        <v>0</v>
      </c>
      <c r="N191" s="37" t="s">
        <v>97</v>
      </c>
      <c r="O191" s="44">
        <v>840572</v>
      </c>
      <c r="Q191" s="12"/>
    </row>
    <row r="192" spans="1:17" x14ac:dyDescent="0.25">
      <c r="A192" s="35" t="str">
        <f>KA!G201</f>
        <v>Mahendra</v>
      </c>
      <c r="B192" s="35" t="str">
        <f>KA!H201</f>
        <v>Sun Biotic</v>
      </c>
      <c r="C192" s="43">
        <f>KA!I201</f>
        <v>582341</v>
      </c>
      <c r="D192" s="43">
        <f>KA!J201</f>
        <v>0</v>
      </c>
      <c r="E192" s="43">
        <f>KA!K201</f>
        <v>0</v>
      </c>
      <c r="F192" s="43">
        <f>KA!L201</f>
        <v>0</v>
      </c>
      <c r="G192" s="43">
        <f>KA!M201</f>
        <v>0</v>
      </c>
      <c r="H192" s="43">
        <f>KA!N201</f>
        <v>0</v>
      </c>
      <c r="I192" s="43">
        <f>KA!O201</f>
        <v>0</v>
      </c>
      <c r="J192" s="43">
        <f>KA!P201</f>
        <v>0</v>
      </c>
      <c r="K192" s="43">
        <f>KA!Q201</f>
        <v>66817</v>
      </c>
      <c r="L192" s="43">
        <f>KA!R201</f>
        <v>515524</v>
      </c>
      <c r="N192" s="37" t="s">
        <v>143</v>
      </c>
      <c r="O192" s="44">
        <v>221525</v>
      </c>
      <c r="Q192" s="12"/>
    </row>
    <row r="193" spans="1:17" x14ac:dyDescent="0.25">
      <c r="A193" s="35" t="str">
        <f>KA!G202</f>
        <v>Prabhakar</v>
      </c>
      <c r="B193" s="35" t="str">
        <f>KA!H202</f>
        <v>Kadabageri Kotresh</v>
      </c>
      <c r="C193" s="43">
        <f>KA!I202</f>
        <v>21000</v>
      </c>
      <c r="D193" s="43">
        <f>KA!J202</f>
        <v>0</v>
      </c>
      <c r="E193" s="43">
        <f>KA!K202</f>
        <v>0</v>
      </c>
      <c r="F193" s="43">
        <f>KA!L202</f>
        <v>0</v>
      </c>
      <c r="G193" s="43">
        <f>KA!M202</f>
        <v>0</v>
      </c>
      <c r="H193" s="43">
        <f>KA!N202</f>
        <v>0</v>
      </c>
      <c r="I193" s="43">
        <f>KA!O202</f>
        <v>0</v>
      </c>
      <c r="J193" s="43">
        <f>KA!P202</f>
        <v>0</v>
      </c>
      <c r="K193" s="43">
        <f>KA!Q202</f>
        <v>0</v>
      </c>
      <c r="L193" s="43">
        <f>KA!R202</f>
        <v>21000</v>
      </c>
      <c r="N193" s="37" t="s">
        <v>187</v>
      </c>
      <c r="O193" s="44">
        <v>168000</v>
      </c>
      <c r="Q193" s="12"/>
    </row>
    <row r="194" spans="1:17" x14ac:dyDescent="0.25">
      <c r="A194" s="35" t="str">
        <f>KA!G203</f>
        <v>Prabhakar</v>
      </c>
      <c r="B194" s="35" t="str">
        <f>KA!H203</f>
        <v>KPR Agros Poultries Pvt Ltd</v>
      </c>
      <c r="C194" s="43">
        <f>KA!I203</f>
        <v>12000</v>
      </c>
      <c r="D194" s="43">
        <f>KA!J203</f>
        <v>0</v>
      </c>
      <c r="E194" s="43">
        <f>KA!K203</f>
        <v>0</v>
      </c>
      <c r="F194" s="43">
        <f>KA!L203</f>
        <v>0</v>
      </c>
      <c r="G194" s="43">
        <f>KA!M203</f>
        <v>0</v>
      </c>
      <c r="H194" s="43">
        <f>KA!N203</f>
        <v>0</v>
      </c>
      <c r="I194" s="43">
        <f>KA!O203</f>
        <v>0</v>
      </c>
      <c r="J194" s="43">
        <f>KA!P203</f>
        <v>0</v>
      </c>
      <c r="K194" s="43">
        <f>KA!Q203</f>
        <v>0</v>
      </c>
      <c r="L194" s="43">
        <f>KA!R203</f>
        <v>12000</v>
      </c>
      <c r="N194" s="37" t="s">
        <v>32</v>
      </c>
      <c r="O194" s="44">
        <v>589294</v>
      </c>
      <c r="Q194" s="12"/>
    </row>
    <row r="195" spans="1:17" x14ac:dyDescent="0.25">
      <c r="A195" s="35" t="str">
        <f>KA!G204</f>
        <v>Prabhakar</v>
      </c>
      <c r="B195" s="35" t="str">
        <f>KA!H204</f>
        <v>Shashidhara Poultry Form-Old-Prabhakar</v>
      </c>
      <c r="C195" s="43">
        <f>KA!I204</f>
        <v>16700</v>
      </c>
      <c r="D195" s="43">
        <f>KA!J204</f>
        <v>0</v>
      </c>
      <c r="E195" s="43">
        <f>KA!K204</f>
        <v>0</v>
      </c>
      <c r="F195" s="43">
        <f>KA!L204</f>
        <v>0</v>
      </c>
      <c r="G195" s="43">
        <f>KA!M204</f>
        <v>0</v>
      </c>
      <c r="H195" s="43">
        <f>KA!N204</f>
        <v>0</v>
      </c>
      <c r="I195" s="43">
        <f>KA!O204</f>
        <v>0</v>
      </c>
      <c r="J195" s="43">
        <f>KA!P204</f>
        <v>0</v>
      </c>
      <c r="K195" s="43">
        <f>KA!Q204</f>
        <v>16700</v>
      </c>
      <c r="L195" s="43">
        <f>KA!R204</f>
        <v>0</v>
      </c>
      <c r="N195" s="37" t="s">
        <v>188</v>
      </c>
      <c r="O195" s="44">
        <v>104500</v>
      </c>
      <c r="Q195" s="12"/>
    </row>
    <row r="196" spans="1:17" x14ac:dyDescent="0.25">
      <c r="A196" s="35" t="str">
        <f>KA!G205</f>
        <v>Prabhakar</v>
      </c>
      <c r="B196" s="35" t="str">
        <f>KA!H205</f>
        <v>Shri Lakshmi Narasimha PF</v>
      </c>
      <c r="C196" s="43">
        <f>KA!I205</f>
        <v>2000</v>
      </c>
      <c r="D196" s="43">
        <f>KA!J205</f>
        <v>0</v>
      </c>
      <c r="E196" s="43">
        <f>KA!K205</f>
        <v>0</v>
      </c>
      <c r="F196" s="43">
        <f>KA!L205</f>
        <v>0</v>
      </c>
      <c r="G196" s="43">
        <f>KA!M205</f>
        <v>0</v>
      </c>
      <c r="H196" s="43">
        <f>KA!N205</f>
        <v>0</v>
      </c>
      <c r="I196" s="43">
        <f>KA!O205</f>
        <v>0</v>
      </c>
      <c r="J196" s="43">
        <f>KA!P205</f>
        <v>0</v>
      </c>
      <c r="K196" s="43">
        <f>KA!Q205</f>
        <v>0</v>
      </c>
      <c r="L196" s="43">
        <f>KA!R205</f>
        <v>2000</v>
      </c>
      <c r="N196" s="37" t="s">
        <v>120</v>
      </c>
      <c r="O196" s="44">
        <v>897709</v>
      </c>
      <c r="Q196" s="12"/>
    </row>
    <row r="197" spans="1:17" x14ac:dyDescent="0.25">
      <c r="A197" s="35" t="str">
        <f>KA!G206</f>
        <v>Prabhakar</v>
      </c>
      <c r="B197" s="35" t="str">
        <f>KA!H206</f>
        <v>Sneha poultry farm</v>
      </c>
      <c r="C197" s="43">
        <f>KA!I206</f>
        <v>12000</v>
      </c>
      <c r="D197" s="43">
        <f>KA!J206</f>
        <v>0</v>
      </c>
      <c r="E197" s="43">
        <f>KA!K206</f>
        <v>0</v>
      </c>
      <c r="F197" s="43">
        <f>KA!L206</f>
        <v>0</v>
      </c>
      <c r="G197" s="43">
        <f>KA!M206</f>
        <v>0</v>
      </c>
      <c r="H197" s="43">
        <f>KA!N206</f>
        <v>0</v>
      </c>
      <c r="I197" s="43">
        <f>KA!O206</f>
        <v>0</v>
      </c>
      <c r="J197" s="43">
        <f>KA!P206</f>
        <v>0</v>
      </c>
      <c r="K197" s="43">
        <f>KA!Q206</f>
        <v>0</v>
      </c>
      <c r="L197" s="43">
        <f>KA!R206</f>
        <v>12000</v>
      </c>
      <c r="N197" s="37" t="s">
        <v>189</v>
      </c>
      <c r="O197" s="44">
        <v>25200</v>
      </c>
      <c r="Q197" s="12"/>
    </row>
    <row r="198" spans="1:17" x14ac:dyDescent="0.25">
      <c r="A198" s="35" t="str">
        <f>KA!G207</f>
        <v>Prabhakar</v>
      </c>
      <c r="B198" s="35" t="str">
        <f>KA!H207</f>
        <v>Sudarshan Poultry Farm</v>
      </c>
      <c r="C198" s="43">
        <f>KA!I207</f>
        <v>84000</v>
      </c>
      <c r="D198" s="43">
        <f>KA!J207</f>
        <v>0</v>
      </c>
      <c r="E198" s="43">
        <f>KA!K207</f>
        <v>0</v>
      </c>
      <c r="F198" s="43">
        <f>KA!L207</f>
        <v>0</v>
      </c>
      <c r="G198" s="43">
        <f>KA!M207</f>
        <v>0</v>
      </c>
      <c r="H198" s="43">
        <f>KA!N207</f>
        <v>0</v>
      </c>
      <c r="I198" s="43">
        <f>KA!O207</f>
        <v>0</v>
      </c>
      <c r="J198" s="43">
        <f>KA!P207</f>
        <v>0</v>
      </c>
      <c r="K198" s="43">
        <f>KA!Q207</f>
        <v>0</v>
      </c>
      <c r="L198" s="43">
        <f>KA!R207</f>
        <v>84000</v>
      </c>
      <c r="N198" s="37" t="s">
        <v>144</v>
      </c>
      <c r="O198" s="44">
        <v>39921.339999999997</v>
      </c>
      <c r="Q198" s="12"/>
    </row>
    <row r="199" spans="1:17" x14ac:dyDescent="0.25">
      <c r="A199" s="12"/>
      <c r="B199" s="12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N199" s="37" t="s">
        <v>234</v>
      </c>
      <c r="O199" s="44">
        <v>2985754.75</v>
      </c>
      <c r="Q199" s="12"/>
    </row>
    <row r="200" spans="1:17" x14ac:dyDescent="0.25">
      <c r="A200" s="35" t="str">
        <f>TN!G2</f>
        <v>Lavanya</v>
      </c>
      <c r="B200" s="35" t="str">
        <f>TN!H2</f>
        <v>Buruju Gangamma Poultry Farm</v>
      </c>
      <c r="C200" s="43">
        <f>TN!I2</f>
        <v>503397</v>
      </c>
      <c r="D200" s="43">
        <f>TN!J2</f>
        <v>503397</v>
      </c>
      <c r="E200" s="43">
        <f>TN!K2</f>
        <v>0</v>
      </c>
      <c r="F200" s="43">
        <f>TN!L2</f>
        <v>0</v>
      </c>
      <c r="G200" s="43">
        <f>TN!M2</f>
        <v>0</v>
      </c>
      <c r="H200" s="43">
        <f>TN!N2</f>
        <v>0</v>
      </c>
      <c r="I200" s="43">
        <f>TN!O2</f>
        <v>0</v>
      </c>
      <c r="J200" s="43">
        <f>TN!P2</f>
        <v>0</v>
      </c>
      <c r="K200" s="43">
        <f>TN!Q2</f>
        <v>0</v>
      </c>
      <c r="L200" s="43">
        <f>TN!R2</f>
        <v>0</v>
      </c>
      <c r="N200" s="37" t="s">
        <v>190</v>
      </c>
      <c r="O200" s="44">
        <v>735000</v>
      </c>
      <c r="Q200" s="12"/>
    </row>
    <row r="201" spans="1:17" x14ac:dyDescent="0.25">
      <c r="A201" s="35" t="str">
        <f>TN!G3</f>
        <v>Ranjith</v>
      </c>
      <c r="B201" s="35" t="str">
        <f>TN!H3</f>
        <v>Jaya Kumar Poultry Farm</v>
      </c>
      <c r="C201" s="43">
        <f>TN!I3</f>
        <v>1086175</v>
      </c>
      <c r="D201" s="43">
        <f>TN!J3</f>
        <v>1086175</v>
      </c>
      <c r="E201" s="43">
        <f>TN!K3</f>
        <v>0</v>
      </c>
      <c r="F201" s="43">
        <f>TN!L3</f>
        <v>0</v>
      </c>
      <c r="G201" s="43">
        <f>TN!M3</f>
        <v>0</v>
      </c>
      <c r="H201" s="43">
        <f>TN!N3</f>
        <v>0</v>
      </c>
      <c r="I201" s="43">
        <f>TN!O3</f>
        <v>0</v>
      </c>
      <c r="J201" s="43">
        <f>TN!P3</f>
        <v>0</v>
      </c>
      <c r="K201" s="43">
        <f>TN!Q3</f>
        <v>0</v>
      </c>
      <c r="L201" s="43">
        <f>TN!R3</f>
        <v>0</v>
      </c>
      <c r="N201" s="37" t="s">
        <v>278</v>
      </c>
      <c r="O201" s="44">
        <v>820928.73</v>
      </c>
      <c r="Q201" s="12"/>
    </row>
    <row r="202" spans="1:17" x14ac:dyDescent="0.25">
      <c r="A202" s="35" t="str">
        <f>TN!G8</f>
        <v>Adarsh</v>
      </c>
      <c r="B202" s="35" t="str">
        <f>TN!H8</f>
        <v>Haritha Agencies</v>
      </c>
      <c r="C202" s="43">
        <f>TN!I8</f>
        <v>430700</v>
      </c>
      <c r="D202" s="43">
        <f>TN!J8</f>
        <v>430700</v>
      </c>
      <c r="E202" s="43">
        <f>TN!K8</f>
        <v>0</v>
      </c>
      <c r="F202" s="43">
        <f>TN!L8</f>
        <v>0</v>
      </c>
      <c r="G202" s="43">
        <f>TN!M8</f>
        <v>0</v>
      </c>
      <c r="H202" s="43">
        <f>TN!N8</f>
        <v>0</v>
      </c>
      <c r="I202" s="43">
        <f>TN!O8</f>
        <v>0</v>
      </c>
      <c r="J202" s="43">
        <f>TN!P8</f>
        <v>0</v>
      </c>
      <c r="K202" s="43">
        <f>TN!Q8</f>
        <v>0</v>
      </c>
      <c r="L202" s="43">
        <f>TN!R8</f>
        <v>0</v>
      </c>
      <c r="N202" s="37" t="s">
        <v>98</v>
      </c>
      <c r="O202" s="44">
        <v>105900</v>
      </c>
      <c r="Q202" s="12"/>
    </row>
    <row r="203" spans="1:17" x14ac:dyDescent="0.25">
      <c r="A203" s="35" t="str">
        <f>TN!G9</f>
        <v>Adarsh</v>
      </c>
      <c r="B203" s="35" t="str">
        <f>TN!H9</f>
        <v>Royal Traders</v>
      </c>
      <c r="C203" s="43">
        <f>TN!I9</f>
        <v>475</v>
      </c>
      <c r="D203" s="43">
        <f>TN!J9</f>
        <v>0</v>
      </c>
      <c r="E203" s="43">
        <f>TN!K9</f>
        <v>0</v>
      </c>
      <c r="F203" s="43">
        <f>TN!L9</f>
        <v>0</v>
      </c>
      <c r="G203" s="43">
        <f>TN!M9</f>
        <v>475</v>
      </c>
      <c r="H203" s="43">
        <f>TN!N9</f>
        <v>0</v>
      </c>
      <c r="I203" s="43">
        <f>TN!O9</f>
        <v>0</v>
      </c>
      <c r="J203" s="43">
        <f>TN!P9</f>
        <v>0</v>
      </c>
      <c r="K203" s="43">
        <f>TN!Q9</f>
        <v>0</v>
      </c>
      <c r="L203" s="43">
        <f>TN!R9</f>
        <v>0</v>
      </c>
      <c r="N203" s="37" t="s">
        <v>279</v>
      </c>
      <c r="O203" s="44">
        <v>21945.42</v>
      </c>
      <c r="Q203" s="12"/>
    </row>
    <row r="204" spans="1:17" x14ac:dyDescent="0.25">
      <c r="A204" s="35" t="str">
        <f>TN!G10</f>
        <v>Nebu John</v>
      </c>
      <c r="B204" s="35" t="str">
        <f>TN!H10</f>
        <v>Bismillah Feeds</v>
      </c>
      <c r="C204" s="43">
        <f>TN!I10</f>
        <v>2893087.36</v>
      </c>
      <c r="D204" s="43">
        <f>TN!J10</f>
        <v>0</v>
      </c>
      <c r="E204" s="43">
        <f>TN!K10</f>
        <v>2893087.36</v>
      </c>
      <c r="F204" s="43">
        <f>TN!L10</f>
        <v>0</v>
      </c>
      <c r="G204" s="43">
        <f>TN!M10</f>
        <v>0</v>
      </c>
      <c r="H204" s="43">
        <f>TN!N10</f>
        <v>0</v>
      </c>
      <c r="I204" s="43">
        <f>TN!O10</f>
        <v>0</v>
      </c>
      <c r="J204" s="43">
        <f>TN!P10</f>
        <v>0</v>
      </c>
      <c r="K204" s="43">
        <f>TN!Q10</f>
        <v>0</v>
      </c>
      <c r="L204" s="43">
        <f>TN!R10</f>
        <v>0</v>
      </c>
      <c r="N204" s="37" t="s">
        <v>235</v>
      </c>
      <c r="O204" s="44">
        <v>500</v>
      </c>
      <c r="Q204" s="12"/>
    </row>
    <row r="205" spans="1:17" x14ac:dyDescent="0.25">
      <c r="A205" s="35" t="str">
        <f>TN!G11</f>
        <v>Nebu John</v>
      </c>
      <c r="B205" s="35" t="str">
        <f>TN!H11</f>
        <v>J K Agencies</v>
      </c>
      <c r="C205" s="43">
        <f>TN!I11</f>
        <v>9289726</v>
      </c>
      <c r="D205" s="43">
        <f>TN!J11</f>
        <v>9289726</v>
      </c>
      <c r="E205" s="43">
        <f>TN!K11</f>
        <v>0</v>
      </c>
      <c r="F205" s="43">
        <f>TN!L11</f>
        <v>0</v>
      </c>
      <c r="G205" s="43">
        <f>TN!M11</f>
        <v>0</v>
      </c>
      <c r="H205" s="43">
        <f>TN!N11</f>
        <v>0</v>
      </c>
      <c r="I205" s="43">
        <f>TN!O11</f>
        <v>0</v>
      </c>
      <c r="J205" s="43">
        <f>TN!P11</f>
        <v>0</v>
      </c>
      <c r="K205" s="43">
        <f>TN!Q11</f>
        <v>0</v>
      </c>
      <c r="L205" s="43">
        <f>TN!R11</f>
        <v>0</v>
      </c>
      <c r="N205" s="37" t="s">
        <v>191</v>
      </c>
      <c r="O205" s="44">
        <v>170000</v>
      </c>
      <c r="Q205" s="12"/>
    </row>
    <row r="206" spans="1:17" x14ac:dyDescent="0.25">
      <c r="A206" s="35" t="str">
        <f>TN!G12</f>
        <v>Nebu John</v>
      </c>
      <c r="B206" s="35" t="str">
        <f>TN!H12</f>
        <v>Matha Agencies</v>
      </c>
      <c r="C206" s="43">
        <f>TN!I12</f>
        <v>5070634</v>
      </c>
      <c r="D206" s="43">
        <f>TN!J12</f>
        <v>1514350</v>
      </c>
      <c r="E206" s="43">
        <f>TN!K12</f>
        <v>3556284</v>
      </c>
      <c r="F206" s="43">
        <f>TN!L12</f>
        <v>0</v>
      </c>
      <c r="G206" s="43">
        <f>TN!M12</f>
        <v>0</v>
      </c>
      <c r="H206" s="43">
        <f>TN!N12</f>
        <v>0</v>
      </c>
      <c r="I206" s="43">
        <f>TN!O12</f>
        <v>0</v>
      </c>
      <c r="J206" s="43">
        <f>TN!P12</f>
        <v>0</v>
      </c>
      <c r="K206" s="43">
        <f>TN!Q12</f>
        <v>0</v>
      </c>
      <c r="L206" s="43">
        <f>TN!R12</f>
        <v>0</v>
      </c>
      <c r="N206" s="37" t="s">
        <v>192</v>
      </c>
      <c r="O206" s="44">
        <v>321000</v>
      </c>
      <c r="Q206" s="12"/>
    </row>
    <row r="207" spans="1:17" x14ac:dyDescent="0.25">
      <c r="A207" s="35" t="str">
        <f>TN!G13</f>
        <v>Nebu John</v>
      </c>
      <c r="B207" s="35" t="str">
        <f>TN!H13</f>
        <v>MPM Agencies</v>
      </c>
      <c r="C207" s="43">
        <f>TN!I13</f>
        <v>96900</v>
      </c>
      <c r="D207" s="43">
        <f>TN!J13</f>
        <v>96900</v>
      </c>
      <c r="E207" s="43">
        <f>TN!K13</f>
        <v>0</v>
      </c>
      <c r="F207" s="43">
        <f>TN!L13</f>
        <v>0</v>
      </c>
      <c r="G207" s="43">
        <f>TN!M13</f>
        <v>0</v>
      </c>
      <c r="H207" s="43">
        <f>TN!N13</f>
        <v>0</v>
      </c>
      <c r="I207" s="43">
        <f>TN!O13</f>
        <v>0</v>
      </c>
      <c r="J207" s="43">
        <f>TN!P13</f>
        <v>0</v>
      </c>
      <c r="K207" s="43">
        <f>TN!Q13</f>
        <v>0</v>
      </c>
      <c r="L207" s="43">
        <f>TN!R13</f>
        <v>0</v>
      </c>
      <c r="N207" s="37" t="s">
        <v>145</v>
      </c>
      <c r="O207" s="44">
        <v>1679384</v>
      </c>
      <c r="Q207" s="12"/>
    </row>
    <row r="208" spans="1:17" x14ac:dyDescent="0.25">
      <c r="A208" s="35" t="str">
        <f>TN!G14</f>
        <v>Nebu John</v>
      </c>
      <c r="B208" s="35" t="str">
        <f>TN!H14</f>
        <v>Quality Feeds</v>
      </c>
      <c r="C208" s="43">
        <f>TN!I14</f>
        <v>2430726</v>
      </c>
      <c r="D208" s="43">
        <f>TN!J14</f>
        <v>2430726</v>
      </c>
      <c r="E208" s="43">
        <f>TN!K14</f>
        <v>0</v>
      </c>
      <c r="F208" s="43">
        <f>TN!L14</f>
        <v>0</v>
      </c>
      <c r="G208" s="43">
        <f>TN!M14</f>
        <v>0</v>
      </c>
      <c r="H208" s="43">
        <f>TN!N14</f>
        <v>0</v>
      </c>
      <c r="I208" s="43">
        <f>TN!O14</f>
        <v>0</v>
      </c>
      <c r="J208" s="43">
        <f>TN!P14</f>
        <v>0</v>
      </c>
      <c r="K208" s="43">
        <f>TN!Q14</f>
        <v>0</v>
      </c>
      <c r="L208" s="43">
        <f>TN!R14</f>
        <v>0</v>
      </c>
      <c r="N208" s="37" t="s">
        <v>236</v>
      </c>
      <c r="O208" s="44">
        <v>913349.81</v>
      </c>
      <c r="Q208" s="12"/>
    </row>
    <row r="209" spans="1:17" x14ac:dyDescent="0.25">
      <c r="A209" s="35" t="str">
        <f>TN!G15</f>
        <v>Raja Kumar</v>
      </c>
      <c r="B209" s="35" t="str">
        <f>TN!H15</f>
        <v>Rishan Exporters</v>
      </c>
      <c r="C209" s="43">
        <f>TN!I15</f>
        <v>3159329</v>
      </c>
      <c r="D209" s="43">
        <f>TN!J15</f>
        <v>3159329</v>
      </c>
      <c r="E209" s="43">
        <f>TN!K15</f>
        <v>0</v>
      </c>
      <c r="F209" s="43">
        <f>TN!L15</f>
        <v>0</v>
      </c>
      <c r="G209" s="43">
        <f>TN!M15</f>
        <v>0</v>
      </c>
      <c r="H209" s="43">
        <f>TN!N15</f>
        <v>0</v>
      </c>
      <c r="I209" s="43">
        <f>TN!O15</f>
        <v>0</v>
      </c>
      <c r="J209" s="43">
        <f>TN!P15</f>
        <v>0</v>
      </c>
      <c r="K209" s="43">
        <f>TN!Q15</f>
        <v>0</v>
      </c>
      <c r="L209" s="43">
        <f>TN!R15</f>
        <v>0</v>
      </c>
      <c r="N209" s="37" t="s">
        <v>99</v>
      </c>
      <c r="O209" s="44">
        <v>823063</v>
      </c>
      <c r="Q209" s="12">
        <f>VLOOKUP(N209,'SD with Cr bal'!$D$3:$E$99,2,0)</f>
        <v>9719.2999999999993</v>
      </c>
    </row>
    <row r="210" spans="1:17" x14ac:dyDescent="0.25">
      <c r="A210" s="35" t="str">
        <f>TN!G16</f>
        <v>Raja Kumar</v>
      </c>
      <c r="B210" s="35" t="str">
        <f>TN!H16</f>
        <v>S I T Agencies</v>
      </c>
      <c r="C210" s="43">
        <f>TN!I16</f>
        <v>2685011</v>
      </c>
      <c r="D210" s="43">
        <f>TN!J16</f>
        <v>0</v>
      </c>
      <c r="E210" s="43">
        <f>TN!K16</f>
        <v>683100</v>
      </c>
      <c r="F210" s="43">
        <f>TN!L16</f>
        <v>0</v>
      </c>
      <c r="G210" s="43">
        <f>TN!M16</f>
        <v>892375</v>
      </c>
      <c r="H210" s="43">
        <f>TN!N16</f>
        <v>1109536</v>
      </c>
      <c r="I210" s="43">
        <f>TN!O16</f>
        <v>0</v>
      </c>
      <c r="J210" s="43">
        <f>TN!P16</f>
        <v>0</v>
      </c>
      <c r="K210" s="43">
        <f>TN!Q16</f>
        <v>0</v>
      </c>
      <c r="L210" s="43">
        <f>TN!R16</f>
        <v>0</v>
      </c>
      <c r="N210" s="37" t="s">
        <v>100</v>
      </c>
      <c r="O210" s="44">
        <v>786840</v>
      </c>
      <c r="Q210" s="12"/>
    </row>
    <row r="211" spans="1:17" x14ac:dyDescent="0.25">
      <c r="A211" s="35" t="str">
        <f>TN!G17</f>
        <v>Ranjith</v>
      </c>
      <c r="B211" s="35" t="str">
        <f>TN!H17</f>
        <v>Om Sai Ram</v>
      </c>
      <c r="C211" s="43">
        <f>TN!I17</f>
        <v>14565</v>
      </c>
      <c r="D211" s="43">
        <f>TN!J17</f>
        <v>0</v>
      </c>
      <c r="E211" s="43">
        <f>TN!K17</f>
        <v>14565</v>
      </c>
      <c r="F211" s="43">
        <f>TN!L17</f>
        <v>0</v>
      </c>
      <c r="G211" s="43">
        <f>TN!M17</f>
        <v>0</v>
      </c>
      <c r="H211" s="43">
        <f>TN!N17</f>
        <v>0</v>
      </c>
      <c r="I211" s="43">
        <f>TN!O17</f>
        <v>0</v>
      </c>
      <c r="J211" s="43">
        <f>TN!P17</f>
        <v>0</v>
      </c>
      <c r="K211" s="43">
        <f>TN!Q17</f>
        <v>0</v>
      </c>
      <c r="L211" s="43">
        <f>TN!R17</f>
        <v>0</v>
      </c>
      <c r="N211" s="37" t="s">
        <v>282</v>
      </c>
      <c r="O211" s="44">
        <v>647718</v>
      </c>
      <c r="Q211" s="12"/>
    </row>
    <row r="212" spans="1:17" x14ac:dyDescent="0.25">
      <c r="A212" s="35" t="str">
        <f>TN!G22</f>
        <v>Nebu John</v>
      </c>
      <c r="B212" s="35" t="str">
        <f>TN!H22</f>
        <v>Bismillah Feeds</v>
      </c>
      <c r="C212" s="43">
        <f>TN!I22</f>
        <v>3013130</v>
      </c>
      <c r="D212" s="43">
        <f>TN!J22</f>
        <v>572360</v>
      </c>
      <c r="E212" s="43">
        <f>TN!K22</f>
        <v>2440770</v>
      </c>
      <c r="F212" s="43">
        <f>TN!L22</f>
        <v>0</v>
      </c>
      <c r="G212" s="43">
        <f>TN!M22</f>
        <v>0</v>
      </c>
      <c r="H212" s="43">
        <f>TN!N22</f>
        <v>0</v>
      </c>
      <c r="I212" s="43">
        <f>TN!O22</f>
        <v>0</v>
      </c>
      <c r="J212" s="43">
        <f>TN!P22</f>
        <v>0</v>
      </c>
      <c r="K212" s="43">
        <f>TN!Q22</f>
        <v>0</v>
      </c>
      <c r="L212" s="43">
        <f>TN!R22</f>
        <v>0</v>
      </c>
      <c r="N212" s="37" t="s">
        <v>101</v>
      </c>
      <c r="O212" s="44">
        <v>34169.68</v>
      </c>
      <c r="Q212" s="12"/>
    </row>
    <row r="213" spans="1:17" x14ac:dyDescent="0.25">
      <c r="A213" s="35" t="str">
        <f>TN!G23</f>
        <v>Nebu John</v>
      </c>
      <c r="B213" s="35" t="str">
        <f>TN!H23</f>
        <v>J K Agencies</v>
      </c>
      <c r="C213" s="43">
        <f>TN!I23</f>
        <v>1311295</v>
      </c>
      <c r="D213" s="43">
        <f>TN!J23</f>
        <v>0</v>
      </c>
      <c r="E213" s="43">
        <f>TN!K23</f>
        <v>1311295</v>
      </c>
      <c r="F213" s="43">
        <f>TN!L23</f>
        <v>0</v>
      </c>
      <c r="G213" s="43">
        <f>TN!M23</f>
        <v>0</v>
      </c>
      <c r="H213" s="43">
        <f>TN!N23</f>
        <v>0</v>
      </c>
      <c r="I213" s="43">
        <f>TN!O23</f>
        <v>0</v>
      </c>
      <c r="J213" s="43">
        <f>TN!P23</f>
        <v>0</v>
      </c>
      <c r="K213" s="43">
        <f>TN!Q23</f>
        <v>0</v>
      </c>
      <c r="L213" s="43">
        <f>TN!R23</f>
        <v>0</v>
      </c>
      <c r="N213" s="37" t="s">
        <v>237</v>
      </c>
      <c r="O213" s="44">
        <v>709.98</v>
      </c>
      <c r="Q213" s="12"/>
    </row>
    <row r="214" spans="1:17" x14ac:dyDescent="0.25">
      <c r="A214" s="35" t="str">
        <f>TN!G24</f>
        <v>Nebu John</v>
      </c>
      <c r="B214" s="35" t="str">
        <f>TN!H24</f>
        <v>M S Feeds</v>
      </c>
      <c r="C214" s="43">
        <f>TN!I24</f>
        <v>3252785</v>
      </c>
      <c r="D214" s="43">
        <f>TN!J24</f>
        <v>3252785</v>
      </c>
      <c r="E214" s="43">
        <f>TN!K24</f>
        <v>0</v>
      </c>
      <c r="F214" s="43">
        <f>TN!L24</f>
        <v>0</v>
      </c>
      <c r="G214" s="43">
        <f>TN!M24</f>
        <v>0</v>
      </c>
      <c r="H214" s="43">
        <f>TN!N24</f>
        <v>0</v>
      </c>
      <c r="I214" s="43">
        <f>TN!O24</f>
        <v>0</v>
      </c>
      <c r="J214" s="43">
        <f>TN!P24</f>
        <v>0</v>
      </c>
      <c r="K214" s="43">
        <f>TN!Q24</f>
        <v>0</v>
      </c>
      <c r="L214" s="43">
        <f>TN!R24</f>
        <v>0</v>
      </c>
      <c r="N214" s="37" t="s">
        <v>102</v>
      </c>
      <c r="O214" s="44">
        <v>92625</v>
      </c>
      <c r="Q214" s="12"/>
    </row>
    <row r="215" spans="1:17" x14ac:dyDescent="0.25">
      <c r="A215" s="35" t="str">
        <f>TN!G25</f>
        <v>Nebu John</v>
      </c>
      <c r="B215" s="35" t="str">
        <f>TN!H25</f>
        <v>Quality Feeds</v>
      </c>
      <c r="C215" s="43">
        <f>TN!I25</f>
        <v>234300</v>
      </c>
      <c r="D215" s="43">
        <f>TN!J25</f>
        <v>234300</v>
      </c>
      <c r="E215" s="43">
        <f>TN!K25</f>
        <v>0</v>
      </c>
      <c r="F215" s="43">
        <f>TN!L25</f>
        <v>0</v>
      </c>
      <c r="G215" s="43">
        <f>TN!M25</f>
        <v>0</v>
      </c>
      <c r="H215" s="43">
        <f>TN!N25</f>
        <v>0</v>
      </c>
      <c r="I215" s="43">
        <f>TN!O25</f>
        <v>0</v>
      </c>
      <c r="J215" s="43">
        <f>TN!P25</f>
        <v>0</v>
      </c>
      <c r="K215" s="43">
        <f>TN!Q25</f>
        <v>0</v>
      </c>
      <c r="L215" s="43">
        <f>TN!R25</f>
        <v>0</v>
      </c>
      <c r="N215" s="37" t="s">
        <v>103</v>
      </c>
      <c r="O215" s="44">
        <v>814865</v>
      </c>
      <c r="Q215" s="12"/>
    </row>
    <row r="216" spans="1:17" x14ac:dyDescent="0.25">
      <c r="A216" s="35" t="str">
        <f>TN!G26</f>
        <v>Raja Kumar</v>
      </c>
      <c r="B216" s="35" t="str">
        <f>TN!H26</f>
        <v>Rishan Exporters</v>
      </c>
      <c r="C216" s="43">
        <f>TN!I26</f>
        <v>3484675</v>
      </c>
      <c r="D216" s="43">
        <f>TN!J26</f>
        <v>3484675</v>
      </c>
      <c r="E216" s="43">
        <f>TN!K26</f>
        <v>0</v>
      </c>
      <c r="F216" s="43">
        <f>TN!L26</f>
        <v>0</v>
      </c>
      <c r="G216" s="43">
        <f>TN!M26</f>
        <v>0</v>
      </c>
      <c r="H216" s="43">
        <f>TN!N26</f>
        <v>0</v>
      </c>
      <c r="I216" s="43">
        <f>TN!O26</f>
        <v>0</v>
      </c>
      <c r="J216" s="43">
        <f>TN!P26</f>
        <v>0</v>
      </c>
      <c r="K216" s="43">
        <f>TN!Q26</f>
        <v>0</v>
      </c>
      <c r="L216" s="43">
        <f>TN!R26</f>
        <v>0</v>
      </c>
      <c r="N216" s="37" t="s">
        <v>33</v>
      </c>
      <c r="O216" s="44">
        <v>10700</v>
      </c>
      <c r="Q216" s="12"/>
    </row>
    <row r="217" spans="1:17" x14ac:dyDescent="0.25">
      <c r="A217" s="35" t="str">
        <f>TN!G27</f>
        <v>Ranjith</v>
      </c>
      <c r="B217" s="35" t="str">
        <f>TN!H27</f>
        <v>Jaya Kumar Poultry Farm</v>
      </c>
      <c r="C217" s="43">
        <f>D217</f>
        <v>2738380</v>
      </c>
      <c r="D217" s="43">
        <f>TN!J27-45</f>
        <v>2738380</v>
      </c>
      <c r="E217" s="43">
        <f>TN!K27</f>
        <v>0</v>
      </c>
      <c r="F217" s="43">
        <f>TN!L27</f>
        <v>0</v>
      </c>
      <c r="G217" s="43">
        <f>TN!M27</f>
        <v>0</v>
      </c>
      <c r="H217" s="43">
        <f>TN!N27</f>
        <v>0</v>
      </c>
      <c r="I217" s="43">
        <f>TN!O27</f>
        <v>0</v>
      </c>
      <c r="J217" s="43">
        <f>TN!P27</f>
        <v>0</v>
      </c>
      <c r="K217" s="43">
        <f>TN!Q27</f>
        <v>0</v>
      </c>
      <c r="L217" s="43">
        <f>TN!R27</f>
        <v>0</v>
      </c>
      <c r="N217" s="37" t="s">
        <v>280</v>
      </c>
      <c r="O217" s="44">
        <v>458504</v>
      </c>
      <c r="Q217" s="12"/>
    </row>
    <row r="218" spans="1:17" x14ac:dyDescent="0.25">
      <c r="A218" s="35" t="str">
        <f>TN!G31</f>
        <v>Adarsh</v>
      </c>
      <c r="B218" s="35" t="str">
        <f>TN!H31</f>
        <v>Ras Traders</v>
      </c>
      <c r="C218" s="43">
        <f>TN!I31</f>
        <v>190900</v>
      </c>
      <c r="D218" s="43">
        <f>TN!J31</f>
        <v>0</v>
      </c>
      <c r="E218" s="43">
        <f>TN!K31</f>
        <v>0</v>
      </c>
      <c r="F218" s="43">
        <f>TN!L31</f>
        <v>0</v>
      </c>
      <c r="G218" s="43">
        <f>TN!M31</f>
        <v>190900</v>
      </c>
      <c r="H218" s="43">
        <f>TN!N31</f>
        <v>0</v>
      </c>
      <c r="I218" s="43">
        <f>TN!O31</f>
        <v>0</v>
      </c>
      <c r="J218" s="43">
        <f>TN!P31</f>
        <v>0</v>
      </c>
      <c r="K218" s="43">
        <f>TN!Q31</f>
        <v>0</v>
      </c>
      <c r="L218" s="43">
        <f>TN!R31</f>
        <v>0</v>
      </c>
      <c r="N218" s="37" t="s">
        <v>131</v>
      </c>
      <c r="O218" s="44">
        <v>295151</v>
      </c>
      <c r="Q218" s="12"/>
    </row>
    <row r="219" spans="1:17" x14ac:dyDescent="0.25">
      <c r="A219" s="35" t="str">
        <f>TN!G32</f>
        <v>Direct - Inactive</v>
      </c>
      <c r="B219" s="35" t="str">
        <f>TN!H32</f>
        <v>Kurikkal Chicken Wandoor</v>
      </c>
      <c r="C219" s="43">
        <f>TN!I32</f>
        <v>1874174</v>
      </c>
      <c r="D219" s="43">
        <f>TN!J32</f>
        <v>0</v>
      </c>
      <c r="E219" s="43">
        <f>TN!K32</f>
        <v>0</v>
      </c>
      <c r="F219" s="43">
        <f>TN!L32</f>
        <v>0</v>
      </c>
      <c r="G219" s="43">
        <f>TN!M32</f>
        <v>0</v>
      </c>
      <c r="H219" s="43">
        <f>TN!N32</f>
        <v>0</v>
      </c>
      <c r="I219" s="43">
        <f>TN!O32</f>
        <v>0</v>
      </c>
      <c r="J219" s="43">
        <f>TN!P32</f>
        <v>0</v>
      </c>
      <c r="K219" s="43">
        <f>TN!Q32</f>
        <v>0</v>
      </c>
      <c r="L219" s="43">
        <f>TN!R32</f>
        <v>1874174</v>
      </c>
      <c r="N219" s="37" t="s">
        <v>281</v>
      </c>
      <c r="O219" s="44">
        <v>10000</v>
      </c>
      <c r="Q219" s="12"/>
    </row>
    <row r="220" spans="1:17" x14ac:dyDescent="0.25">
      <c r="A220" s="35" t="str">
        <f>TN!G33</f>
        <v>Raghavendra</v>
      </c>
      <c r="B220" s="35" t="str">
        <f>TN!H33</f>
        <v>Shakra Feeds &amp; Hatcheries</v>
      </c>
      <c r="C220" s="43">
        <f>TN!I33</f>
        <v>985733</v>
      </c>
      <c r="D220" s="43">
        <f>TN!J33</f>
        <v>0</v>
      </c>
      <c r="E220" s="43">
        <f>TN!K33</f>
        <v>0</v>
      </c>
      <c r="F220" s="43">
        <f>TN!L33</f>
        <v>0</v>
      </c>
      <c r="G220" s="43">
        <f>TN!M33</f>
        <v>0</v>
      </c>
      <c r="H220" s="43">
        <f>TN!N33</f>
        <v>0</v>
      </c>
      <c r="I220" s="43">
        <f>TN!O33</f>
        <v>0</v>
      </c>
      <c r="J220" s="43">
        <f>TN!P33</f>
        <v>0</v>
      </c>
      <c r="K220" s="43">
        <f>TN!Q33</f>
        <v>985733</v>
      </c>
      <c r="L220" s="43">
        <f>TN!R33</f>
        <v>0</v>
      </c>
      <c r="N220" s="37" t="s">
        <v>157</v>
      </c>
      <c r="O220" s="44">
        <v>393520</v>
      </c>
      <c r="Q220" s="12"/>
    </row>
    <row r="221" spans="1:17" x14ac:dyDescent="0.25">
      <c r="A221" s="35" t="str">
        <f>TN!G34</f>
        <v>Raja Kumar</v>
      </c>
      <c r="B221" s="35" t="str">
        <f>TN!H34</f>
        <v>S I T Agencies</v>
      </c>
      <c r="C221" s="43">
        <f>TN!I34</f>
        <v>832050</v>
      </c>
      <c r="D221" s="43">
        <f>TN!J34</f>
        <v>0</v>
      </c>
      <c r="E221" s="43">
        <f>TN!K34</f>
        <v>0</v>
      </c>
      <c r="F221" s="43">
        <f>TN!L34</f>
        <v>0</v>
      </c>
      <c r="G221" s="43">
        <f>TN!M34</f>
        <v>668100</v>
      </c>
      <c r="H221" s="43">
        <f>TN!N34</f>
        <v>0</v>
      </c>
      <c r="I221" s="43">
        <f>TN!O34</f>
        <v>163950</v>
      </c>
      <c r="J221" s="43">
        <f>TN!P34</f>
        <v>0</v>
      </c>
      <c r="K221" s="43">
        <f>TN!Q34</f>
        <v>0</v>
      </c>
      <c r="L221" s="43">
        <f>TN!R34</f>
        <v>0</v>
      </c>
      <c r="N221" s="37" t="s">
        <v>104</v>
      </c>
      <c r="O221" s="44">
        <v>66000</v>
      </c>
      <c r="Q221" s="12"/>
    </row>
    <row r="222" spans="1:17" x14ac:dyDescent="0.25">
      <c r="A222" s="12"/>
      <c r="B222" s="12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N222" s="37" t="s">
        <v>105</v>
      </c>
      <c r="O222" s="44">
        <v>12375</v>
      </c>
      <c r="Q222" s="12"/>
    </row>
    <row r="223" spans="1:17" x14ac:dyDescent="0.25">
      <c r="A223" s="35" t="str">
        <f>TS!G2</f>
        <v>Ashok</v>
      </c>
      <c r="B223" s="35" t="str">
        <f>TS!H2</f>
        <v>Lotus Enterprises</v>
      </c>
      <c r="C223" s="43">
        <f>TS!I2-135000</f>
        <v>5472262.1500000004</v>
      </c>
      <c r="D223" s="43">
        <f>TS!J2</f>
        <v>4005000</v>
      </c>
      <c r="E223" s="43">
        <f>TS!K2</f>
        <v>1235900</v>
      </c>
      <c r="F223" s="43">
        <f>TS!L2-135000</f>
        <v>231362.15000000002</v>
      </c>
      <c r="G223" s="43">
        <f>TS!M2</f>
        <v>0</v>
      </c>
      <c r="H223" s="43">
        <f>TS!N2</f>
        <v>0</v>
      </c>
      <c r="I223" s="43">
        <f>TS!O2</f>
        <v>0</v>
      </c>
      <c r="J223" s="43">
        <f>TS!P2</f>
        <v>0</v>
      </c>
      <c r="K223" s="43">
        <f>TS!Q2</f>
        <v>0</v>
      </c>
      <c r="L223" s="43">
        <f>TS!R2</f>
        <v>0</v>
      </c>
      <c r="N223" s="37" t="s">
        <v>106</v>
      </c>
      <c r="O223" s="44">
        <v>8470265</v>
      </c>
      <c r="Q223" s="12"/>
    </row>
    <row r="224" spans="1:17" x14ac:dyDescent="0.25">
      <c r="A224" s="35" t="str">
        <f>TS!G3</f>
        <v>Ashok</v>
      </c>
      <c r="B224" s="35" t="str">
        <f>TS!H3</f>
        <v>Shree Agencies</v>
      </c>
      <c r="C224" s="43">
        <f>TS!I3</f>
        <v>5742269.7800000003</v>
      </c>
      <c r="D224" s="43">
        <f>TS!J3</f>
        <v>5742269.7800000003</v>
      </c>
      <c r="E224" s="43">
        <f>TS!K3</f>
        <v>0</v>
      </c>
      <c r="F224" s="43">
        <f>TS!L3</f>
        <v>0</v>
      </c>
      <c r="G224" s="43">
        <f>TS!M3</f>
        <v>0</v>
      </c>
      <c r="H224" s="43">
        <f>TS!N3</f>
        <v>0</v>
      </c>
      <c r="I224" s="43">
        <f>TS!O3</f>
        <v>0</v>
      </c>
      <c r="J224" s="43">
        <f>TS!P3</f>
        <v>0</v>
      </c>
      <c r="K224" s="43">
        <f>TS!Q3</f>
        <v>0</v>
      </c>
      <c r="L224" s="43">
        <f>TS!R3</f>
        <v>0</v>
      </c>
      <c r="N224" s="37" t="s">
        <v>107</v>
      </c>
      <c r="O224" s="44">
        <v>1366469</v>
      </c>
      <c r="Q224" s="12"/>
    </row>
    <row r="225" spans="1:17" x14ac:dyDescent="0.25">
      <c r="A225" s="35" t="str">
        <f>TS!G4</f>
        <v>Ashok</v>
      </c>
      <c r="B225" s="35" t="str">
        <f>TS!H4</f>
        <v>Snehith Reddy Poultry And Feeds</v>
      </c>
      <c r="C225" s="43">
        <f>TS!I4</f>
        <v>812230.48</v>
      </c>
      <c r="D225" s="43">
        <f>TS!J4</f>
        <v>812230.48</v>
      </c>
      <c r="E225" s="43">
        <f>TS!K4</f>
        <v>0</v>
      </c>
      <c r="F225" s="43">
        <f>TS!L4</f>
        <v>0</v>
      </c>
      <c r="G225" s="43">
        <f>TS!M4</f>
        <v>0</v>
      </c>
      <c r="H225" s="43">
        <f>TS!N4</f>
        <v>0</v>
      </c>
      <c r="I225" s="43">
        <f>TS!O4</f>
        <v>0</v>
      </c>
      <c r="J225" s="43">
        <f>TS!P4</f>
        <v>0</v>
      </c>
      <c r="K225" s="43">
        <f>TS!Q4</f>
        <v>0</v>
      </c>
      <c r="L225" s="43">
        <f>TS!R4</f>
        <v>0</v>
      </c>
      <c r="N225" s="37" t="s">
        <v>146</v>
      </c>
      <c r="O225" s="44">
        <v>60850</v>
      </c>
      <c r="Q225" s="12"/>
    </row>
    <row r="226" spans="1:17" x14ac:dyDescent="0.25">
      <c r="A226" s="35" t="str">
        <f>TS!G5</f>
        <v>Bandaru Balaji</v>
      </c>
      <c r="B226" s="35" t="str">
        <f>TS!H5</f>
        <v>Sri Parameshwari Broiler Poultry Farm &amp; Feeds</v>
      </c>
      <c r="C226" s="43">
        <f>TS!I5</f>
        <v>417103</v>
      </c>
      <c r="D226" s="43">
        <f>TS!J5</f>
        <v>417103</v>
      </c>
      <c r="E226" s="43">
        <f>TS!K5</f>
        <v>0</v>
      </c>
      <c r="F226" s="43">
        <f>TS!L5</f>
        <v>0</v>
      </c>
      <c r="G226" s="43">
        <f>TS!M5</f>
        <v>0</v>
      </c>
      <c r="H226" s="43">
        <f>TS!N5</f>
        <v>0</v>
      </c>
      <c r="I226" s="43">
        <f>TS!O5</f>
        <v>0</v>
      </c>
      <c r="J226" s="43">
        <f>TS!P5</f>
        <v>0</v>
      </c>
      <c r="K226" s="43">
        <f>TS!Q5</f>
        <v>0</v>
      </c>
      <c r="L226" s="43">
        <f>TS!R5</f>
        <v>0</v>
      </c>
      <c r="N226" s="37" t="s">
        <v>151</v>
      </c>
      <c r="O226" s="44">
        <v>3384321.25</v>
      </c>
      <c r="Q226" s="12"/>
    </row>
    <row r="227" spans="1:17" x14ac:dyDescent="0.25">
      <c r="A227" s="35" t="str">
        <f>TS!G6</f>
        <v>G Chandra Sekhar</v>
      </c>
      <c r="B227" s="35" t="str">
        <f>TS!H6</f>
        <v>Obulesh poultry Farm</v>
      </c>
      <c r="C227" s="43">
        <f>TS!I6</f>
        <v>65500</v>
      </c>
      <c r="D227" s="43">
        <f>TS!J6</f>
        <v>0</v>
      </c>
      <c r="E227" s="43">
        <f>TS!K6</f>
        <v>65500</v>
      </c>
      <c r="F227" s="43">
        <f>TS!L6</f>
        <v>0</v>
      </c>
      <c r="G227" s="43">
        <f>TS!M6</f>
        <v>0</v>
      </c>
      <c r="H227" s="43">
        <f>TS!N6</f>
        <v>0</v>
      </c>
      <c r="I227" s="43">
        <f>TS!O6</f>
        <v>0</v>
      </c>
      <c r="J227" s="43">
        <f>TS!P6</f>
        <v>0</v>
      </c>
      <c r="K227" s="43">
        <f>TS!Q6</f>
        <v>0</v>
      </c>
      <c r="L227" s="43">
        <f>TS!R6</f>
        <v>0</v>
      </c>
      <c r="N227" s="37" t="s">
        <v>108</v>
      </c>
      <c r="O227" s="44">
        <v>30300</v>
      </c>
      <c r="Q227" s="12"/>
    </row>
    <row r="228" spans="1:17" x14ac:dyDescent="0.25">
      <c r="A228" s="35" t="str">
        <f>TS!G7</f>
        <v>G Chandra Sekhar</v>
      </c>
      <c r="B228" s="35" t="str">
        <f>TS!H7</f>
        <v>Sri Laxmi Narasimha Poultry Farms</v>
      </c>
      <c r="C228" s="43">
        <f>TS!I7</f>
        <v>500</v>
      </c>
      <c r="D228" s="43">
        <f>TS!J7</f>
        <v>0</v>
      </c>
      <c r="E228" s="43">
        <f>TS!K7</f>
        <v>500</v>
      </c>
      <c r="F228" s="43">
        <f>TS!L7</f>
        <v>0</v>
      </c>
      <c r="G228" s="43">
        <f>TS!M7</f>
        <v>0</v>
      </c>
      <c r="H228" s="43">
        <f>TS!N7</f>
        <v>0</v>
      </c>
      <c r="I228" s="43">
        <f>TS!O7</f>
        <v>0</v>
      </c>
      <c r="J228" s="43">
        <f>TS!P7</f>
        <v>0</v>
      </c>
      <c r="K228" s="43">
        <f>TS!Q7</f>
        <v>0</v>
      </c>
      <c r="L228" s="43">
        <f>TS!R7</f>
        <v>0</v>
      </c>
      <c r="N228" s="37" t="s">
        <v>109</v>
      </c>
      <c r="O228" s="44">
        <v>10495</v>
      </c>
      <c r="Q228" s="12"/>
    </row>
    <row r="229" spans="1:17" x14ac:dyDescent="0.25">
      <c r="A229" s="35" t="str">
        <f>TS!G8</f>
        <v>G Chandra Sekhar</v>
      </c>
      <c r="B229" s="35" t="str">
        <f>TS!H8</f>
        <v>T Nadipi Gurrappa</v>
      </c>
      <c r="C229" s="43">
        <f>TS!I8</f>
        <v>100309</v>
      </c>
      <c r="D229" s="43">
        <f>TS!J8</f>
        <v>100309</v>
      </c>
      <c r="E229" s="43">
        <f>TS!K8</f>
        <v>0</v>
      </c>
      <c r="F229" s="43">
        <f>TS!L8</f>
        <v>0</v>
      </c>
      <c r="G229" s="43">
        <f>TS!M8</f>
        <v>0</v>
      </c>
      <c r="H229" s="43">
        <f>TS!N8</f>
        <v>0</v>
      </c>
      <c r="I229" s="43">
        <f>TS!O8</f>
        <v>0</v>
      </c>
      <c r="J229" s="43">
        <f>TS!P8</f>
        <v>0</v>
      </c>
      <c r="K229" s="43">
        <f>TS!Q8</f>
        <v>0</v>
      </c>
      <c r="L229" s="43">
        <f>TS!R8</f>
        <v>0</v>
      </c>
      <c r="N229" s="37" t="s">
        <v>193</v>
      </c>
      <c r="O229" s="44">
        <v>585000</v>
      </c>
      <c r="Q229" s="12"/>
    </row>
    <row r="230" spans="1:17" x14ac:dyDescent="0.25">
      <c r="A230" s="35" t="str">
        <f>TS!G9</f>
        <v>Karre Narasimha</v>
      </c>
      <c r="B230" s="35" t="str">
        <f>TS!H9</f>
        <v>Kishan poultry society</v>
      </c>
      <c r="C230" s="43">
        <f>TS!I9</f>
        <v>340</v>
      </c>
      <c r="D230" s="43">
        <f>TS!J9</f>
        <v>340</v>
      </c>
      <c r="E230" s="43">
        <f>TS!K9</f>
        <v>0</v>
      </c>
      <c r="F230" s="43">
        <f>TS!L9</f>
        <v>0</v>
      </c>
      <c r="G230" s="43">
        <f>TS!M9</f>
        <v>0</v>
      </c>
      <c r="H230" s="43">
        <f>TS!N9</f>
        <v>0</v>
      </c>
      <c r="I230" s="43">
        <f>TS!O9</f>
        <v>0</v>
      </c>
      <c r="J230" s="43">
        <f>TS!P9</f>
        <v>0</v>
      </c>
      <c r="K230" s="43">
        <f>TS!Q9</f>
        <v>0</v>
      </c>
      <c r="L230" s="43">
        <f>TS!R9</f>
        <v>0</v>
      </c>
      <c r="N230" s="37" t="s">
        <v>238</v>
      </c>
      <c r="O230" s="44">
        <v>100309</v>
      </c>
      <c r="Q230" s="12"/>
    </row>
    <row r="231" spans="1:17" x14ac:dyDescent="0.25">
      <c r="A231" s="35" t="str">
        <f>TS!G10</f>
        <v>Karre Narasimha</v>
      </c>
      <c r="B231" s="35" t="str">
        <f>TS!H10</f>
        <v>Mallikharjuna Rao Poultry Farm</v>
      </c>
      <c r="C231" s="43">
        <f>TS!I10</f>
        <v>700</v>
      </c>
      <c r="D231" s="43">
        <f>TS!J10</f>
        <v>0</v>
      </c>
      <c r="E231" s="43">
        <f>TS!K10</f>
        <v>0</v>
      </c>
      <c r="F231" s="43">
        <f>TS!L10</f>
        <v>0</v>
      </c>
      <c r="G231" s="43">
        <f>TS!M10</f>
        <v>0</v>
      </c>
      <c r="H231" s="43">
        <f>TS!N10</f>
        <v>0</v>
      </c>
      <c r="I231" s="43">
        <f>TS!O10</f>
        <v>700</v>
      </c>
      <c r="J231" s="43">
        <f>TS!P10</f>
        <v>0</v>
      </c>
      <c r="K231" s="43">
        <f>TS!Q10</f>
        <v>0</v>
      </c>
      <c r="L231" s="43">
        <f>TS!R10</f>
        <v>0</v>
      </c>
      <c r="N231" s="37" t="s">
        <v>284</v>
      </c>
      <c r="O231" s="44">
        <v>34317</v>
      </c>
      <c r="Q231" s="12"/>
    </row>
    <row r="232" spans="1:17" x14ac:dyDescent="0.25">
      <c r="A232" s="35" t="str">
        <f>TS!G11</f>
        <v>Karre Narasimha</v>
      </c>
      <c r="B232" s="35" t="str">
        <f>TS!H11</f>
        <v>Narender Reddy poultry farms</v>
      </c>
      <c r="C232" s="43">
        <f>TS!I11</f>
        <v>5200</v>
      </c>
      <c r="D232" s="43">
        <f>TS!J11</f>
        <v>0</v>
      </c>
      <c r="E232" s="43">
        <f>TS!K11</f>
        <v>5200</v>
      </c>
      <c r="F232" s="43">
        <f>TS!L11</f>
        <v>0</v>
      </c>
      <c r="G232" s="43">
        <f>TS!M11</f>
        <v>0</v>
      </c>
      <c r="H232" s="43">
        <f>TS!N11</f>
        <v>0</v>
      </c>
      <c r="I232" s="43">
        <f>TS!O11</f>
        <v>0</v>
      </c>
      <c r="J232" s="43">
        <f>TS!P11</f>
        <v>0</v>
      </c>
      <c r="K232" s="43">
        <f>TS!Q11</f>
        <v>0</v>
      </c>
      <c r="L232" s="43">
        <f>TS!R11</f>
        <v>0</v>
      </c>
      <c r="N232" s="37" t="s">
        <v>110</v>
      </c>
      <c r="O232" s="44">
        <v>441286</v>
      </c>
      <c r="Q232" s="12"/>
    </row>
    <row r="233" spans="1:17" x14ac:dyDescent="0.25">
      <c r="A233" s="35" t="str">
        <f>TS!G12</f>
        <v>N. Srinivas</v>
      </c>
      <c r="B233" s="35" t="str">
        <f>TS!H12</f>
        <v>M/s Excel Poultry</v>
      </c>
      <c r="C233" s="43">
        <f>TS!I12</f>
        <v>60000</v>
      </c>
      <c r="D233" s="43">
        <f>TS!J12</f>
        <v>0</v>
      </c>
      <c r="E233" s="43">
        <f>TS!K12</f>
        <v>60000</v>
      </c>
      <c r="F233" s="43">
        <f>TS!L12</f>
        <v>0</v>
      </c>
      <c r="G233" s="43">
        <f>TS!M12</f>
        <v>0</v>
      </c>
      <c r="H233" s="43">
        <f>TS!N12</f>
        <v>0</v>
      </c>
      <c r="I233" s="43">
        <f>TS!O12</f>
        <v>0</v>
      </c>
      <c r="J233" s="43">
        <f>TS!P12</f>
        <v>0</v>
      </c>
      <c r="K233" s="43">
        <f>TS!Q12</f>
        <v>0</v>
      </c>
      <c r="L233" s="43">
        <f>TS!R12</f>
        <v>0</v>
      </c>
      <c r="N233" s="37" t="s">
        <v>201</v>
      </c>
      <c r="O233" s="44">
        <v>1300</v>
      </c>
      <c r="Q233" s="12"/>
    </row>
    <row r="234" spans="1:17" x14ac:dyDescent="0.25">
      <c r="A234" s="35" t="str">
        <f>TS!G13</f>
        <v>N. Srinivas</v>
      </c>
      <c r="B234" s="35" t="str">
        <f>TS!H13</f>
        <v>Sri sreshta Poultries  and feed</v>
      </c>
      <c r="C234" s="43">
        <f>TS!I13</f>
        <v>709.98</v>
      </c>
      <c r="D234" s="43">
        <f>TS!J13</f>
        <v>0</v>
      </c>
      <c r="E234" s="43">
        <f>TS!K13</f>
        <v>0</v>
      </c>
      <c r="F234" s="43">
        <f>TS!L13</f>
        <v>0</v>
      </c>
      <c r="G234" s="43">
        <f>TS!M13</f>
        <v>0</v>
      </c>
      <c r="H234" s="43">
        <f>TS!N13</f>
        <v>0</v>
      </c>
      <c r="I234" s="43">
        <f>TS!O13</f>
        <v>709.98</v>
      </c>
      <c r="J234" s="43">
        <f>TS!P13</f>
        <v>0</v>
      </c>
      <c r="K234" s="43">
        <f>TS!Q13</f>
        <v>0</v>
      </c>
      <c r="L234" s="43">
        <f>TS!R13</f>
        <v>0</v>
      </c>
      <c r="N234" s="37" t="s">
        <v>34</v>
      </c>
      <c r="O234" s="44">
        <v>2060</v>
      </c>
      <c r="Q234" s="12"/>
    </row>
    <row r="235" spans="1:17" x14ac:dyDescent="0.25">
      <c r="A235" s="35" t="str">
        <f>TS!G14</f>
        <v>N. Srinivas</v>
      </c>
      <c r="B235" s="35" t="str">
        <f>TS!H14</f>
        <v>Vignan Organics</v>
      </c>
      <c r="C235" s="43">
        <f>TS!I14</f>
        <v>24976.91</v>
      </c>
      <c r="D235" s="43">
        <f>TS!J14</f>
        <v>24976.91</v>
      </c>
      <c r="E235" s="43">
        <f>TS!K14</f>
        <v>0</v>
      </c>
      <c r="F235" s="43">
        <f>TS!L14</f>
        <v>0</v>
      </c>
      <c r="G235" s="43">
        <f>TS!M14</f>
        <v>0</v>
      </c>
      <c r="H235" s="43">
        <f>TS!N14</f>
        <v>0</v>
      </c>
      <c r="I235" s="43">
        <f>TS!O14</f>
        <v>0</v>
      </c>
      <c r="J235" s="43">
        <f>TS!P14</f>
        <v>0</v>
      </c>
      <c r="K235" s="43">
        <f>TS!Q14</f>
        <v>0</v>
      </c>
      <c r="L235" s="43">
        <f>TS!R14</f>
        <v>0</v>
      </c>
      <c r="N235" s="37" t="s">
        <v>35</v>
      </c>
      <c r="O235" s="44">
        <v>7705</v>
      </c>
      <c r="Q235" s="12"/>
    </row>
    <row r="236" spans="1:17" x14ac:dyDescent="0.25">
      <c r="A236" s="35" t="str">
        <f>TS!G15</f>
        <v>Seetharam</v>
      </c>
      <c r="B236" s="35" t="str">
        <f>TS!H15</f>
        <v>Sri Devi Poutry Farm, Narasaraopete</v>
      </c>
      <c r="C236" s="43">
        <f>TS!I15</f>
        <v>1582237.2</v>
      </c>
      <c r="D236" s="43">
        <f>TS!J15</f>
        <v>1582237.2</v>
      </c>
      <c r="E236" s="43">
        <f>TS!K15</f>
        <v>0</v>
      </c>
      <c r="F236" s="43">
        <f>TS!L15</f>
        <v>0</v>
      </c>
      <c r="G236" s="43">
        <f>TS!M15</f>
        <v>0</v>
      </c>
      <c r="H236" s="43">
        <f>TS!N15</f>
        <v>0</v>
      </c>
      <c r="I236" s="43">
        <f>TS!O15</f>
        <v>0</v>
      </c>
      <c r="J236" s="43">
        <f>TS!P15</f>
        <v>0</v>
      </c>
      <c r="K236" s="43">
        <f>TS!Q15</f>
        <v>0</v>
      </c>
      <c r="L236" s="43">
        <f>TS!R15</f>
        <v>0</v>
      </c>
      <c r="N236" s="37" t="s">
        <v>285</v>
      </c>
      <c r="O236" s="44">
        <v>15925</v>
      </c>
      <c r="Q236" s="12"/>
    </row>
    <row r="237" spans="1:17" x14ac:dyDescent="0.25">
      <c r="A237" s="35" t="str">
        <f>TS!G20</f>
        <v>Karre Narasimha</v>
      </c>
      <c r="B237" s="35" t="str">
        <f>TS!H20</f>
        <v>K P R fresh products</v>
      </c>
      <c r="C237" s="43">
        <f>TS!I20</f>
        <v>72657.64</v>
      </c>
      <c r="D237" s="43">
        <f>TS!J20</f>
        <v>0</v>
      </c>
      <c r="E237" s="43">
        <f>TS!K20</f>
        <v>0</v>
      </c>
      <c r="F237" s="43">
        <f>TS!L20</f>
        <v>0</v>
      </c>
      <c r="G237" s="43">
        <f>TS!M20</f>
        <v>0</v>
      </c>
      <c r="H237" s="43">
        <f>TS!N20</f>
        <v>0</v>
      </c>
      <c r="I237" s="43">
        <f>TS!O20</f>
        <v>0</v>
      </c>
      <c r="J237" s="43">
        <f>TS!P20</f>
        <v>0</v>
      </c>
      <c r="K237" s="43">
        <f>TS!Q20</f>
        <v>72657.64</v>
      </c>
      <c r="L237" s="43">
        <f>TS!R20</f>
        <v>0</v>
      </c>
      <c r="N237" s="37" t="s">
        <v>148</v>
      </c>
      <c r="O237" s="44">
        <v>95</v>
      </c>
      <c r="Q237" s="12"/>
    </row>
    <row r="238" spans="1:17" x14ac:dyDescent="0.25">
      <c r="A238" s="35" t="str">
        <f>TS!G21</f>
        <v>Karre Narasimha</v>
      </c>
      <c r="B238" s="35" t="str">
        <f>TS!H21</f>
        <v>Laxmi Sai Breeding Farms Pvt Ltd</v>
      </c>
      <c r="C238" s="43">
        <f>TS!I21-725</f>
        <v>0</v>
      </c>
      <c r="D238" s="43">
        <f>TS!J21</f>
        <v>0</v>
      </c>
      <c r="E238" s="43">
        <f>TS!K21</f>
        <v>0</v>
      </c>
      <c r="F238" s="43">
        <f>TS!L21</f>
        <v>0</v>
      </c>
      <c r="G238" s="43">
        <f>TS!M21</f>
        <v>0</v>
      </c>
      <c r="H238" s="43">
        <f>TS!N21</f>
        <v>0</v>
      </c>
      <c r="I238" s="43">
        <f>TS!O21</f>
        <v>0</v>
      </c>
      <c r="J238" s="43">
        <f>TS!P21-725</f>
        <v>0</v>
      </c>
      <c r="K238" s="43">
        <f>TS!Q21</f>
        <v>0</v>
      </c>
      <c r="L238" s="43">
        <f>TS!R21</f>
        <v>0</v>
      </c>
      <c r="N238" s="37" t="s">
        <v>287</v>
      </c>
      <c r="O238" s="44">
        <v>211742.63</v>
      </c>
      <c r="Q238" s="12"/>
    </row>
    <row r="239" spans="1:17" x14ac:dyDescent="0.25">
      <c r="A239" s="35" t="str">
        <f>TS!G22</f>
        <v>N. Srinivas</v>
      </c>
      <c r="B239" s="35" t="str">
        <f>TS!H22</f>
        <v>Masthan Poultry Farms</v>
      </c>
      <c r="C239" s="43">
        <f>TS!I22</f>
        <v>198547.20000000001</v>
      </c>
      <c r="D239" s="43">
        <f>TS!J22</f>
        <v>0</v>
      </c>
      <c r="E239" s="43">
        <f>TS!K22</f>
        <v>0</v>
      </c>
      <c r="F239" s="43">
        <f>TS!L22</f>
        <v>0</v>
      </c>
      <c r="G239" s="43">
        <f>TS!M22</f>
        <v>0</v>
      </c>
      <c r="H239" s="43">
        <f>TS!N22</f>
        <v>0</v>
      </c>
      <c r="I239" s="43">
        <f>TS!O22</f>
        <v>0</v>
      </c>
      <c r="J239" s="43">
        <f>TS!P22</f>
        <v>198547.20000000001</v>
      </c>
      <c r="K239" s="43">
        <f>TS!Q22</f>
        <v>0</v>
      </c>
      <c r="L239" s="43">
        <f>TS!R22</f>
        <v>0</v>
      </c>
      <c r="N239" s="37" t="s">
        <v>40</v>
      </c>
      <c r="O239" s="44">
        <v>605</v>
      </c>
      <c r="Q239" s="12"/>
    </row>
    <row r="240" spans="1:17" x14ac:dyDescent="0.25">
      <c r="A240" s="12"/>
      <c r="B240" s="12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N240" s="37" t="s">
        <v>36</v>
      </c>
      <c r="O240" s="44">
        <v>2025</v>
      </c>
      <c r="Q240" s="12"/>
    </row>
    <row r="241" spans="1:17" x14ac:dyDescent="0.25">
      <c r="A241" s="35" t="str">
        <f>VJD!G2</f>
        <v>Bandaru Balaji</v>
      </c>
      <c r="B241" s="35" t="str">
        <f>VJD!H2</f>
        <v>Dhanalakshmi poultry farm</v>
      </c>
      <c r="C241" s="43">
        <f>VJD!I2</f>
        <v>319.64999999999998</v>
      </c>
      <c r="D241" s="43">
        <f>VJD!J2</f>
        <v>319.64999999999998</v>
      </c>
      <c r="E241" s="43">
        <f>VJD!K2</f>
        <v>0</v>
      </c>
      <c r="F241" s="43">
        <f>VJD!L2</f>
        <v>0</v>
      </c>
      <c r="G241" s="43">
        <f>VJD!M2</f>
        <v>0</v>
      </c>
      <c r="H241" s="43">
        <f>VJD!N2</f>
        <v>0</v>
      </c>
      <c r="I241" s="43">
        <f>VJD!O2</f>
        <v>0</v>
      </c>
      <c r="J241" s="43">
        <f>VJD!P2</f>
        <v>0</v>
      </c>
      <c r="K241" s="43">
        <f>VJD!Q2</f>
        <v>0</v>
      </c>
      <c r="L241" s="43">
        <f>VJD!R2</f>
        <v>0</v>
      </c>
      <c r="N241" s="37" t="s">
        <v>111</v>
      </c>
      <c r="O241" s="44">
        <v>2320224</v>
      </c>
      <c r="Q241" s="12"/>
    </row>
    <row r="242" spans="1:17" x14ac:dyDescent="0.25">
      <c r="A242" s="35" t="str">
        <f>VJD!G3</f>
        <v>Bandaru Balaji</v>
      </c>
      <c r="B242" s="35" t="str">
        <f>VJD!H3</f>
        <v>Sri Parameshwari Broiler Poultry Farm &amp; Feeds</v>
      </c>
      <c r="C242" s="43">
        <f>VJD!I3</f>
        <v>496246.81</v>
      </c>
      <c r="D242" s="43">
        <f>VJD!J3</f>
        <v>496246.81</v>
      </c>
      <c r="E242" s="43">
        <f>VJD!K3</f>
        <v>0</v>
      </c>
      <c r="F242" s="43">
        <f>VJD!L3</f>
        <v>0</v>
      </c>
      <c r="G242" s="43">
        <f>VJD!M3</f>
        <v>0</v>
      </c>
      <c r="H242" s="43">
        <f>VJD!N3</f>
        <v>0</v>
      </c>
      <c r="I242" s="43">
        <f>VJD!O3</f>
        <v>0</v>
      </c>
      <c r="J242" s="43">
        <f>VJD!P3</f>
        <v>0</v>
      </c>
      <c r="K242" s="43">
        <f>VJD!Q3</f>
        <v>0</v>
      </c>
      <c r="L242" s="43">
        <f>VJD!R3</f>
        <v>0</v>
      </c>
      <c r="N242" s="37" t="s">
        <v>194</v>
      </c>
      <c r="O242" s="44">
        <v>11500</v>
      </c>
      <c r="Q242" s="12"/>
    </row>
    <row r="243" spans="1:17" x14ac:dyDescent="0.25">
      <c r="A243" s="35" t="str">
        <f>VJD!G4</f>
        <v>Direct - Inactive</v>
      </c>
      <c r="B243" s="35" t="str">
        <f>VJD!H4</f>
        <v>Abhinay  Reddy Poultry Farm</v>
      </c>
      <c r="C243" s="43">
        <f>VJD!I4</f>
        <v>170371</v>
      </c>
      <c r="D243" s="43">
        <f>VJD!J4</f>
        <v>0</v>
      </c>
      <c r="E243" s="43">
        <f>VJD!K4</f>
        <v>0</v>
      </c>
      <c r="F243" s="43">
        <f>VJD!L4</f>
        <v>0</v>
      </c>
      <c r="G243" s="43">
        <f>VJD!M4</f>
        <v>0</v>
      </c>
      <c r="H243" s="43">
        <f>VJD!N4</f>
        <v>0</v>
      </c>
      <c r="I243" s="43">
        <f>VJD!O4</f>
        <v>0</v>
      </c>
      <c r="J243" s="43">
        <f>VJD!P4</f>
        <v>0</v>
      </c>
      <c r="K243" s="43">
        <f>VJD!Q4</f>
        <v>0</v>
      </c>
      <c r="L243" s="43">
        <f>VJD!R4</f>
        <v>170371</v>
      </c>
      <c r="N243" s="37" t="s">
        <v>158</v>
      </c>
      <c r="O243" s="44">
        <v>6150</v>
      </c>
      <c r="Q243" s="12"/>
    </row>
    <row r="244" spans="1:17" x14ac:dyDescent="0.25">
      <c r="A244" s="35" t="str">
        <f>VJD!G5</f>
        <v>Direct - Inactive</v>
      </c>
      <c r="B244" s="35" t="str">
        <f>VJD!H5</f>
        <v>Ambarish Poultry Farm</v>
      </c>
      <c r="C244" s="43">
        <f>VJD!I5</f>
        <v>149739</v>
      </c>
      <c r="D244" s="43">
        <f>VJD!J5</f>
        <v>0</v>
      </c>
      <c r="E244" s="43">
        <f>VJD!K5</f>
        <v>0</v>
      </c>
      <c r="F244" s="43">
        <f>VJD!L5</f>
        <v>0</v>
      </c>
      <c r="G244" s="43">
        <f>VJD!M5</f>
        <v>0</v>
      </c>
      <c r="H244" s="43">
        <f>VJD!N5</f>
        <v>0</v>
      </c>
      <c r="I244" s="43">
        <f>VJD!O5</f>
        <v>0</v>
      </c>
      <c r="J244" s="43">
        <f>VJD!P5</f>
        <v>0</v>
      </c>
      <c r="K244" s="43">
        <f>VJD!Q5</f>
        <v>0</v>
      </c>
      <c r="L244" s="43">
        <f>VJD!R5</f>
        <v>149739</v>
      </c>
      <c r="N244" s="37" t="s">
        <v>112</v>
      </c>
      <c r="O244" s="44">
        <v>140880</v>
      </c>
      <c r="Q244" s="12"/>
    </row>
    <row r="245" spans="1:17" x14ac:dyDescent="0.25">
      <c r="A245" s="35" t="str">
        <f>VJD!G6</f>
        <v>Direct - Inactive</v>
      </c>
      <c r="B245" s="35" t="str">
        <f>VJD!H6</f>
        <v>Anjali Enterprises</v>
      </c>
      <c r="C245" s="43">
        <f>VJD!I6</f>
        <v>305642.81</v>
      </c>
      <c r="D245" s="43">
        <f>VJD!J6</f>
        <v>0</v>
      </c>
      <c r="E245" s="43">
        <f>VJD!K6</f>
        <v>0</v>
      </c>
      <c r="F245" s="43">
        <f>VJD!L6</f>
        <v>0</v>
      </c>
      <c r="G245" s="43">
        <f>VJD!M6</f>
        <v>0</v>
      </c>
      <c r="H245" s="43">
        <f>VJD!N6</f>
        <v>0</v>
      </c>
      <c r="I245" s="43">
        <f>VJD!O6</f>
        <v>0</v>
      </c>
      <c r="J245" s="43">
        <f>VJD!P6</f>
        <v>0</v>
      </c>
      <c r="K245" s="43">
        <f>VJD!Q6</f>
        <v>0</v>
      </c>
      <c r="L245" s="43">
        <f>VJD!R6</f>
        <v>305642.81</v>
      </c>
      <c r="N245" s="37" t="s">
        <v>286</v>
      </c>
      <c r="O245" s="44">
        <v>1468223</v>
      </c>
      <c r="Q245" s="12"/>
    </row>
    <row r="246" spans="1:17" x14ac:dyDescent="0.25">
      <c r="A246" s="35" t="str">
        <f>VJD!G7</f>
        <v>Direct - Inactive</v>
      </c>
      <c r="B246" s="35" t="str">
        <f>VJD!H7</f>
        <v xml:space="preserve">Green Valley Nutrition_x000D_
</v>
      </c>
      <c r="C246" s="43">
        <f>VJD!I7</f>
        <v>261320</v>
      </c>
      <c r="D246" s="43">
        <f>VJD!J7</f>
        <v>0</v>
      </c>
      <c r="E246" s="43">
        <f>VJD!K7</f>
        <v>0</v>
      </c>
      <c r="F246" s="43">
        <f>VJD!L7</f>
        <v>0</v>
      </c>
      <c r="G246" s="43">
        <f>VJD!M7</f>
        <v>0</v>
      </c>
      <c r="H246" s="43">
        <f>VJD!N7</f>
        <v>0</v>
      </c>
      <c r="I246" s="43">
        <f>VJD!O7</f>
        <v>0</v>
      </c>
      <c r="J246" s="43">
        <f>VJD!P7</f>
        <v>0</v>
      </c>
      <c r="K246" s="43">
        <f>VJD!Q7</f>
        <v>0</v>
      </c>
      <c r="L246" s="43">
        <f>VJD!R7</f>
        <v>261320</v>
      </c>
      <c r="N246" s="37" t="s">
        <v>37</v>
      </c>
      <c r="O246" s="44">
        <v>13775</v>
      </c>
      <c r="Q246" s="12"/>
    </row>
    <row r="247" spans="1:17" x14ac:dyDescent="0.25">
      <c r="A247" s="35" t="str">
        <f>VJD!G8</f>
        <v>Direct - Inactive</v>
      </c>
      <c r="B247" s="35" t="str">
        <f>VJD!H8</f>
        <v>K Satya Padma Latha</v>
      </c>
      <c r="C247" s="43">
        <f>VJD!I8</f>
        <v>117261</v>
      </c>
      <c r="D247" s="43">
        <f>VJD!J8</f>
        <v>0</v>
      </c>
      <c r="E247" s="43">
        <f>VJD!K8</f>
        <v>0</v>
      </c>
      <c r="F247" s="43">
        <f>VJD!L8</f>
        <v>0</v>
      </c>
      <c r="G247" s="43">
        <f>VJD!M8</f>
        <v>0</v>
      </c>
      <c r="H247" s="43">
        <f>VJD!N8</f>
        <v>0</v>
      </c>
      <c r="I247" s="43">
        <f>VJD!O8</f>
        <v>0</v>
      </c>
      <c r="J247" s="43">
        <f>VJD!P8</f>
        <v>0</v>
      </c>
      <c r="K247" s="43">
        <f>VJD!Q8</f>
        <v>0</v>
      </c>
      <c r="L247" s="43">
        <f>VJD!R8</f>
        <v>117261</v>
      </c>
      <c r="N247" s="37" t="s">
        <v>113</v>
      </c>
      <c r="O247" s="44">
        <v>1550</v>
      </c>
      <c r="Q247" s="12"/>
    </row>
    <row r="248" spans="1:17" x14ac:dyDescent="0.25">
      <c r="A248" s="35" t="str">
        <f>VJD!G9</f>
        <v>Direct - Inactive</v>
      </c>
      <c r="B248" s="35" t="str">
        <f>VJD!H9</f>
        <v>Lakshmi Narasimhaswamy Poultry Farm</v>
      </c>
      <c r="C248" s="43">
        <f>VJD!I9</f>
        <v>40369</v>
      </c>
      <c r="D248" s="43">
        <f>VJD!J9</f>
        <v>0</v>
      </c>
      <c r="E248" s="43">
        <f>VJD!K9</f>
        <v>0</v>
      </c>
      <c r="F248" s="43">
        <f>VJD!L9</f>
        <v>0</v>
      </c>
      <c r="G248" s="43">
        <f>VJD!M9</f>
        <v>0</v>
      </c>
      <c r="H248" s="43">
        <f>VJD!N9</f>
        <v>0</v>
      </c>
      <c r="I248" s="43">
        <f>VJD!O9</f>
        <v>0</v>
      </c>
      <c r="J248" s="43">
        <f>VJD!P9</f>
        <v>0</v>
      </c>
      <c r="K248" s="43">
        <f>VJD!Q9</f>
        <v>0</v>
      </c>
      <c r="L248" s="43">
        <f>VJD!R9</f>
        <v>40369</v>
      </c>
      <c r="N248" s="37" t="s">
        <v>38</v>
      </c>
      <c r="O248" s="44">
        <v>5928</v>
      </c>
      <c r="Q248" s="12"/>
    </row>
    <row r="249" spans="1:17" x14ac:dyDescent="0.25">
      <c r="A249" s="35" t="str">
        <f>VJD!G10</f>
        <v>Direct - Inactive</v>
      </c>
      <c r="B249" s="35" t="str">
        <f>VJD!H10</f>
        <v xml:space="preserve">Siva Sai Enterprises_x000D_
</v>
      </c>
      <c r="C249" s="43">
        <f>VJD!I10</f>
        <v>106034.36</v>
      </c>
      <c r="D249" s="43">
        <f>VJD!J10</f>
        <v>0</v>
      </c>
      <c r="E249" s="43">
        <f>VJD!K10</f>
        <v>0</v>
      </c>
      <c r="F249" s="43">
        <f>VJD!L10</f>
        <v>0</v>
      </c>
      <c r="G249" s="43">
        <f>VJD!M10</f>
        <v>0</v>
      </c>
      <c r="H249" s="43">
        <f>VJD!N10</f>
        <v>0</v>
      </c>
      <c r="I249" s="43">
        <f>VJD!O10</f>
        <v>0</v>
      </c>
      <c r="J249" s="43">
        <f>VJD!P10</f>
        <v>0</v>
      </c>
      <c r="K249" s="43">
        <f>VJD!Q10</f>
        <v>0</v>
      </c>
      <c r="L249" s="43">
        <f>VJD!R10</f>
        <v>106034.36</v>
      </c>
      <c r="N249" s="37" t="s">
        <v>239</v>
      </c>
      <c r="O249" s="44">
        <v>24976.91</v>
      </c>
      <c r="Q249" s="12"/>
    </row>
    <row r="250" spans="1:17" x14ac:dyDescent="0.25">
      <c r="A250" s="35" t="str">
        <f>VJD!G11</f>
        <v>G Chandra Sekhar</v>
      </c>
      <c r="B250" s="35" t="str">
        <f>VJD!H11</f>
        <v>Srinivasulareddy palakolanu</v>
      </c>
      <c r="C250" s="43">
        <f>VJD!I11</f>
        <v>10000</v>
      </c>
      <c r="D250" s="43">
        <f>VJD!J11</f>
        <v>10000</v>
      </c>
      <c r="E250" s="43">
        <f>VJD!K11</f>
        <v>0</v>
      </c>
      <c r="F250" s="43">
        <f>VJD!L11</f>
        <v>0</v>
      </c>
      <c r="G250" s="43">
        <f>VJD!M11</f>
        <v>0</v>
      </c>
      <c r="H250" s="43">
        <f>VJD!N11</f>
        <v>0</v>
      </c>
      <c r="I250" s="43">
        <f>VJD!O11</f>
        <v>0</v>
      </c>
      <c r="J250" s="43">
        <f>VJD!P11</f>
        <v>0</v>
      </c>
      <c r="K250" s="43">
        <f>VJD!Q11</f>
        <v>0</v>
      </c>
      <c r="L250" s="43">
        <f>VJD!R11</f>
        <v>0</v>
      </c>
      <c r="N250" s="37" t="s">
        <v>39</v>
      </c>
      <c r="O250" s="44">
        <v>2345</v>
      </c>
      <c r="Q250" s="12"/>
    </row>
    <row r="251" spans="1:17" x14ac:dyDescent="0.25">
      <c r="A251" s="35" t="str">
        <f>VJD!G12</f>
        <v>G Chandra Sekhar</v>
      </c>
      <c r="B251" s="35" t="str">
        <f>VJD!H12</f>
        <v>Umamaheshwara Poultry Farm</v>
      </c>
      <c r="C251" s="43">
        <f>VJD!I12</f>
        <v>15925</v>
      </c>
      <c r="D251" s="43">
        <f>VJD!J12</f>
        <v>0</v>
      </c>
      <c r="E251" s="43">
        <f>VJD!K12</f>
        <v>15925</v>
      </c>
      <c r="F251" s="43">
        <f>VJD!L12</f>
        <v>0</v>
      </c>
      <c r="G251" s="43">
        <f>VJD!M12</f>
        <v>0</v>
      </c>
      <c r="H251" s="43">
        <f>VJD!N12</f>
        <v>0</v>
      </c>
      <c r="I251" s="43">
        <f>VJD!O12</f>
        <v>0</v>
      </c>
      <c r="J251" s="43">
        <f>VJD!P12</f>
        <v>0</v>
      </c>
      <c r="K251" s="43">
        <f>VJD!Q12</f>
        <v>0</v>
      </c>
      <c r="L251" s="43">
        <f>VJD!R12</f>
        <v>0</v>
      </c>
      <c r="N251" s="37" t="s">
        <v>288</v>
      </c>
      <c r="O251" s="44">
        <v>25048</v>
      </c>
      <c r="Q251" s="12"/>
    </row>
    <row r="252" spans="1:17" x14ac:dyDescent="0.25">
      <c r="A252" s="35" t="str">
        <f>VJD!G13</f>
        <v>Gouse</v>
      </c>
      <c r="B252" s="35" t="str">
        <f>VJD!H13</f>
        <v>Aarna Traders</v>
      </c>
      <c r="C252" s="43">
        <f>VJD!I13</f>
        <v>82308.509999999995</v>
      </c>
      <c r="D252" s="43">
        <f>VJD!J13</f>
        <v>0</v>
      </c>
      <c r="E252" s="43">
        <f>VJD!K13</f>
        <v>0</v>
      </c>
      <c r="F252" s="43">
        <f>VJD!L13</f>
        <v>0</v>
      </c>
      <c r="G252" s="43">
        <f>VJD!M13</f>
        <v>0</v>
      </c>
      <c r="H252" s="43">
        <f>VJD!N13</f>
        <v>0</v>
      </c>
      <c r="I252" s="43">
        <f>VJD!O13</f>
        <v>0</v>
      </c>
      <c r="J252" s="43">
        <f>VJD!P13</f>
        <v>0</v>
      </c>
      <c r="K252" s="43">
        <f>VJD!Q13</f>
        <v>82308.509999999995</v>
      </c>
      <c r="L252" s="43">
        <f>VJD!R13</f>
        <v>0</v>
      </c>
      <c r="N252" s="37" t="s">
        <v>289</v>
      </c>
      <c r="O252" s="44">
        <v>12860.52</v>
      </c>
      <c r="Q252" s="12"/>
    </row>
    <row r="253" spans="1:17" x14ac:dyDescent="0.25">
      <c r="A253" s="35" t="str">
        <f>VJD!G14</f>
        <v>Gouse</v>
      </c>
      <c r="B253" s="35" t="str">
        <f>VJD!H14</f>
        <v>Devi Prasuna Poultry Farm</v>
      </c>
      <c r="C253" s="43">
        <f>VJD!I14</f>
        <v>347424.28</v>
      </c>
      <c r="D253" s="43">
        <f>VJD!J14</f>
        <v>0</v>
      </c>
      <c r="E253" s="43">
        <f>VJD!K14</f>
        <v>0</v>
      </c>
      <c r="F253" s="43">
        <f>VJD!L14</f>
        <v>0</v>
      </c>
      <c r="G253" s="43">
        <f>VJD!M14</f>
        <v>0</v>
      </c>
      <c r="H253" s="43">
        <f>VJD!N14</f>
        <v>0</v>
      </c>
      <c r="I253" s="43">
        <f>VJD!O14</f>
        <v>0</v>
      </c>
      <c r="J253" s="43">
        <f>VJD!P14</f>
        <v>0</v>
      </c>
      <c r="K253" s="43">
        <f>VJD!Q14</f>
        <v>0</v>
      </c>
      <c r="L253" s="43">
        <f>VJD!R14</f>
        <v>347424.28</v>
      </c>
      <c r="N253" s="37" t="s">
        <v>195</v>
      </c>
      <c r="O253" s="44">
        <v>30607</v>
      </c>
      <c r="Q253" s="12"/>
    </row>
    <row r="254" spans="1:17" x14ac:dyDescent="0.25">
      <c r="A254" s="35" t="str">
        <f>VJD!G15</f>
        <v>Gouse</v>
      </c>
      <c r="B254" s="35" t="str">
        <f>VJD!H15</f>
        <v>K V R Poultry Farm</v>
      </c>
      <c r="C254" s="43">
        <f>VJD!I15</f>
        <v>202127</v>
      </c>
      <c r="D254" s="43">
        <f>VJD!J15</f>
        <v>0</v>
      </c>
      <c r="E254" s="43">
        <f>VJD!K15</f>
        <v>0</v>
      </c>
      <c r="F254" s="43">
        <f>VJD!L15</f>
        <v>0</v>
      </c>
      <c r="G254" s="43">
        <f>VJD!M15</f>
        <v>0</v>
      </c>
      <c r="H254" s="43">
        <f>VJD!N15</f>
        <v>0</v>
      </c>
      <c r="I254" s="43">
        <f>VJD!O15</f>
        <v>0</v>
      </c>
      <c r="J254" s="43">
        <f>VJD!P15</f>
        <v>0</v>
      </c>
      <c r="K254" s="43">
        <f>VJD!Q15</f>
        <v>0</v>
      </c>
      <c r="L254" s="43">
        <f>VJD!R15</f>
        <v>202127</v>
      </c>
      <c r="N254" s="37" t="s">
        <v>308</v>
      </c>
      <c r="Q254" s="12"/>
    </row>
    <row r="255" spans="1:17" x14ac:dyDescent="0.25">
      <c r="A255" s="35" t="str">
        <f>VJD!G16</f>
        <v>Gouse</v>
      </c>
      <c r="B255" s="35" t="str">
        <f>VJD!H16</f>
        <v>Lakshmi Poultry, Vadluru</v>
      </c>
      <c r="C255" s="43">
        <f>VJD!I16</f>
        <v>35337.160000000003</v>
      </c>
      <c r="D255" s="43">
        <f>VJD!J16</f>
        <v>35337.160000000003</v>
      </c>
      <c r="E255" s="43">
        <f>VJD!K16</f>
        <v>0</v>
      </c>
      <c r="F255" s="43">
        <f>VJD!L16</f>
        <v>0</v>
      </c>
      <c r="G255" s="43">
        <f>VJD!M16</f>
        <v>0</v>
      </c>
      <c r="H255" s="43">
        <f>VJD!N16</f>
        <v>0</v>
      </c>
      <c r="I255" s="43">
        <f>VJD!O16</f>
        <v>0</v>
      </c>
      <c r="J255" s="43">
        <f>VJD!P16</f>
        <v>0</v>
      </c>
      <c r="K255" s="43">
        <f>VJD!Q16</f>
        <v>0</v>
      </c>
      <c r="L255" s="43">
        <f>VJD!R16</f>
        <v>0</v>
      </c>
      <c r="N255" s="37" t="s">
        <v>121</v>
      </c>
      <c r="O255" s="44">
        <v>157517206.70000002</v>
      </c>
      <c r="Q255" s="12">
        <f>SUM(Q2:Q254)</f>
        <v>328108.3</v>
      </c>
    </row>
    <row r="256" spans="1:17" x14ac:dyDescent="0.25">
      <c r="A256" s="35" t="str">
        <f>VJD!G17</f>
        <v>Gouse</v>
      </c>
      <c r="B256" s="35" t="str">
        <f>VJD!H17</f>
        <v>M Janaki Surya Narayana Raju</v>
      </c>
      <c r="C256" s="43">
        <f>VJD!I17</f>
        <v>1277286.74</v>
      </c>
      <c r="D256" s="43">
        <f>VJD!J17</f>
        <v>863277.11</v>
      </c>
      <c r="E256" s="43">
        <f>VJD!K17</f>
        <v>0</v>
      </c>
      <c r="F256" s="43">
        <f>VJD!L17</f>
        <v>0</v>
      </c>
      <c r="G256" s="43">
        <f>VJD!M17</f>
        <v>0</v>
      </c>
      <c r="H256" s="43">
        <f>VJD!N17</f>
        <v>363087.7</v>
      </c>
      <c r="I256" s="43">
        <f>VJD!O17</f>
        <v>0</v>
      </c>
      <c r="J256" s="43">
        <f>VJD!P17</f>
        <v>50921.93</v>
      </c>
      <c r="K256" s="43">
        <f>VJD!Q17</f>
        <v>0</v>
      </c>
      <c r="L256" s="43">
        <f>VJD!R17</f>
        <v>0</v>
      </c>
    </row>
    <row r="257" spans="1:12" x14ac:dyDescent="0.25">
      <c r="A257" s="35" t="str">
        <f>VJD!G18</f>
        <v>Gouse</v>
      </c>
      <c r="B257" s="35" t="str">
        <f>VJD!H18</f>
        <v>MNVSN Raju Poultry Farm</v>
      </c>
      <c r="C257" s="43">
        <f>VJD!I18</f>
        <v>775240.52</v>
      </c>
      <c r="D257" s="43">
        <f>VJD!J18</f>
        <v>0</v>
      </c>
      <c r="E257" s="43">
        <f>VJD!K18</f>
        <v>775240.52</v>
      </c>
      <c r="F257" s="43">
        <f>VJD!L18</f>
        <v>0</v>
      </c>
      <c r="G257" s="43">
        <f>VJD!M18</f>
        <v>0</v>
      </c>
      <c r="H257" s="43">
        <f>VJD!N18</f>
        <v>0</v>
      </c>
      <c r="I257" s="43">
        <f>VJD!O18</f>
        <v>0</v>
      </c>
      <c r="J257" s="43">
        <f>VJD!P18</f>
        <v>0</v>
      </c>
      <c r="K257" s="43">
        <f>VJD!Q18</f>
        <v>0</v>
      </c>
      <c r="L257" s="43">
        <f>VJD!R18</f>
        <v>0</v>
      </c>
    </row>
    <row r="258" spans="1:12" x14ac:dyDescent="0.25">
      <c r="A258" s="35" t="str">
        <f>VJD!G19</f>
        <v>Gouse</v>
      </c>
      <c r="B258" s="35" t="str">
        <f>VJD!H19</f>
        <v>M Sathyavathi</v>
      </c>
      <c r="C258" s="43">
        <f>VJD!I19</f>
        <v>480720.83</v>
      </c>
      <c r="D258" s="43">
        <f>VJD!J19</f>
        <v>0</v>
      </c>
      <c r="E258" s="43">
        <f>VJD!K19</f>
        <v>0</v>
      </c>
      <c r="F258" s="43">
        <f>VJD!L19</f>
        <v>480720.83</v>
      </c>
      <c r="G258" s="43">
        <f>VJD!M19</f>
        <v>0</v>
      </c>
      <c r="H258" s="43">
        <f>VJD!N19</f>
        <v>0</v>
      </c>
      <c r="I258" s="43">
        <f>VJD!O19</f>
        <v>0</v>
      </c>
      <c r="J258" s="43">
        <f>VJD!P19</f>
        <v>0</v>
      </c>
      <c r="K258" s="43">
        <f>VJD!Q19</f>
        <v>0</v>
      </c>
      <c r="L258" s="43">
        <f>VJD!R19</f>
        <v>0</v>
      </c>
    </row>
    <row r="259" spans="1:12" x14ac:dyDescent="0.25">
      <c r="A259" s="35" t="str">
        <f>VJD!G20</f>
        <v>Gouse</v>
      </c>
      <c r="B259" s="35" t="str">
        <f>VJD!H20</f>
        <v>Poorna Chandra Poultry Farm</v>
      </c>
      <c r="C259" s="43">
        <f>VJD!I20</f>
        <v>613527.79</v>
      </c>
      <c r="D259" s="43">
        <f>VJD!J20</f>
        <v>0</v>
      </c>
      <c r="E259" s="43">
        <f>VJD!K20</f>
        <v>0</v>
      </c>
      <c r="F259" s="43">
        <f>VJD!L20</f>
        <v>0</v>
      </c>
      <c r="G259" s="43">
        <f>VJD!M20</f>
        <v>155541.9</v>
      </c>
      <c r="H259" s="43">
        <f>VJD!N20</f>
        <v>0</v>
      </c>
      <c r="I259" s="43">
        <f>VJD!O20</f>
        <v>457985.89</v>
      </c>
      <c r="J259" s="43">
        <f>VJD!P20</f>
        <v>0</v>
      </c>
      <c r="K259" s="43">
        <f>VJD!Q20</f>
        <v>0</v>
      </c>
      <c r="L259" s="43">
        <f>VJD!R20</f>
        <v>0</v>
      </c>
    </row>
    <row r="260" spans="1:12" x14ac:dyDescent="0.25">
      <c r="A260" s="35" t="str">
        <f>VJD!G21</f>
        <v>Gouse</v>
      </c>
      <c r="B260" s="35" t="str">
        <f>VJD!H21</f>
        <v>RKR Poultry Farm</v>
      </c>
      <c r="C260" s="43">
        <f>VJD!I21</f>
        <v>343860</v>
      </c>
      <c r="D260" s="43">
        <f>VJD!J21</f>
        <v>0</v>
      </c>
      <c r="E260" s="43">
        <f>VJD!K21</f>
        <v>0</v>
      </c>
      <c r="F260" s="43">
        <f>VJD!L21</f>
        <v>0</v>
      </c>
      <c r="G260" s="43">
        <f>VJD!M21</f>
        <v>0</v>
      </c>
      <c r="H260" s="43">
        <f>VJD!N21</f>
        <v>0</v>
      </c>
      <c r="I260" s="43">
        <f>VJD!O21</f>
        <v>0</v>
      </c>
      <c r="J260" s="43">
        <f>VJD!P21</f>
        <v>0</v>
      </c>
      <c r="K260" s="43">
        <f>VJD!Q21</f>
        <v>0</v>
      </c>
      <c r="L260" s="43">
        <f>VJD!R21</f>
        <v>343860</v>
      </c>
    </row>
    <row r="261" spans="1:12" x14ac:dyDescent="0.25">
      <c r="A261" s="35" t="str">
        <f>VJD!G22</f>
        <v>Gouse</v>
      </c>
      <c r="B261" s="35" t="str">
        <f>VJD!H22</f>
        <v>S D  Reshma poultry farm</v>
      </c>
      <c r="C261" s="43">
        <f>VJD!I22</f>
        <v>5845.23</v>
      </c>
      <c r="D261" s="43">
        <f>VJD!J22</f>
        <v>0</v>
      </c>
      <c r="E261" s="43">
        <f>VJD!K22</f>
        <v>0</v>
      </c>
      <c r="F261" s="43">
        <f>VJD!L22</f>
        <v>0</v>
      </c>
      <c r="G261" s="43">
        <f>VJD!M22</f>
        <v>0</v>
      </c>
      <c r="H261" s="43">
        <f>VJD!N22</f>
        <v>0</v>
      </c>
      <c r="I261" s="43">
        <f>VJD!O22</f>
        <v>0</v>
      </c>
      <c r="J261" s="43">
        <f>VJD!P22</f>
        <v>0</v>
      </c>
      <c r="K261" s="43">
        <f>VJD!Q22</f>
        <v>5845.23</v>
      </c>
      <c r="L261" s="43">
        <f>VJD!R22</f>
        <v>0</v>
      </c>
    </row>
    <row r="262" spans="1:12" x14ac:dyDescent="0.25">
      <c r="A262" s="35" t="str">
        <f>VJD!G23</f>
        <v>Gouse</v>
      </c>
      <c r="B262" s="35" t="str">
        <f>VJD!H23</f>
        <v xml:space="preserve">Simhadri Srinivasa Rao _x000D_
</v>
      </c>
      <c r="C262" s="43">
        <f>VJD!I23</f>
        <v>650299</v>
      </c>
      <c r="D262" s="43">
        <f>VJD!J23</f>
        <v>0</v>
      </c>
      <c r="E262" s="43">
        <f>VJD!K23</f>
        <v>0</v>
      </c>
      <c r="F262" s="43">
        <f>VJD!L23</f>
        <v>0</v>
      </c>
      <c r="G262" s="43">
        <f>VJD!M23</f>
        <v>0</v>
      </c>
      <c r="H262" s="43">
        <f>VJD!N23</f>
        <v>0</v>
      </c>
      <c r="I262" s="43">
        <f>VJD!O23</f>
        <v>0</v>
      </c>
      <c r="J262" s="43">
        <f>VJD!P23</f>
        <v>0</v>
      </c>
      <c r="K262" s="43">
        <f>VJD!Q23</f>
        <v>0</v>
      </c>
      <c r="L262" s="43">
        <f>VJD!R23</f>
        <v>650299</v>
      </c>
    </row>
    <row r="263" spans="1:12" x14ac:dyDescent="0.25">
      <c r="A263" s="35" t="str">
        <f>VJD!G24</f>
        <v>Gouse</v>
      </c>
      <c r="B263" s="35" t="str">
        <f>VJD!H24</f>
        <v>Siva Rama Poultry Farm</v>
      </c>
      <c r="C263" s="43">
        <f>VJD!I24</f>
        <v>199836</v>
      </c>
      <c r="D263" s="43">
        <f>VJD!J24</f>
        <v>0</v>
      </c>
      <c r="E263" s="43">
        <f>VJD!K24</f>
        <v>0</v>
      </c>
      <c r="F263" s="43">
        <f>VJD!L24</f>
        <v>0</v>
      </c>
      <c r="G263" s="43">
        <f>VJD!M24</f>
        <v>0</v>
      </c>
      <c r="H263" s="43">
        <f>VJD!N24</f>
        <v>0</v>
      </c>
      <c r="I263" s="43">
        <f>VJD!O24</f>
        <v>0</v>
      </c>
      <c r="J263" s="43">
        <f>VJD!P24</f>
        <v>0</v>
      </c>
      <c r="K263" s="43">
        <f>VJD!Q24</f>
        <v>0</v>
      </c>
      <c r="L263" s="43">
        <f>VJD!R24</f>
        <v>199836</v>
      </c>
    </row>
    <row r="264" spans="1:12" x14ac:dyDescent="0.25">
      <c r="A264" s="35" t="str">
        <f>VJD!G25</f>
        <v>Gouse</v>
      </c>
      <c r="B264" s="35" t="str">
        <f>VJD!H25</f>
        <v>Sri Lakshmi Panduranga Poultry Farm</v>
      </c>
      <c r="C264" s="43">
        <f>VJD!I25</f>
        <v>820928.73</v>
      </c>
      <c r="D264" s="43">
        <f>VJD!J25</f>
        <v>544839.36</v>
      </c>
      <c r="E264" s="43">
        <f>VJD!K25</f>
        <v>0</v>
      </c>
      <c r="F264" s="43">
        <f>VJD!L25</f>
        <v>276089.37</v>
      </c>
      <c r="G264" s="43">
        <f>VJD!M25</f>
        <v>0</v>
      </c>
      <c r="H264" s="43">
        <f>VJD!N25</f>
        <v>0</v>
      </c>
      <c r="I264" s="43">
        <f>VJD!O25</f>
        <v>0</v>
      </c>
      <c r="J264" s="43">
        <f>VJD!P25</f>
        <v>0</v>
      </c>
      <c r="K264" s="43">
        <f>VJD!Q25</f>
        <v>0</v>
      </c>
      <c r="L264" s="43">
        <f>VJD!R25</f>
        <v>0</v>
      </c>
    </row>
    <row r="265" spans="1:12" x14ac:dyDescent="0.25">
      <c r="A265" s="35" t="str">
        <f>VJD!G26</f>
        <v>Gouse</v>
      </c>
      <c r="B265" s="35" t="str">
        <f>VJD!H26</f>
        <v>Sri Lakshmi Srinivasa Poultries</v>
      </c>
      <c r="C265" s="43">
        <f>VJD!I26</f>
        <v>21945.42</v>
      </c>
      <c r="D265" s="43">
        <f>VJD!J26</f>
        <v>0</v>
      </c>
      <c r="E265" s="43">
        <f>VJD!K26</f>
        <v>0</v>
      </c>
      <c r="F265" s="43">
        <f>VJD!L26</f>
        <v>0</v>
      </c>
      <c r="G265" s="43">
        <f>VJD!M26</f>
        <v>0</v>
      </c>
      <c r="H265" s="43">
        <f>VJD!N26</f>
        <v>0</v>
      </c>
      <c r="I265" s="43">
        <f>VJD!O26</f>
        <v>0</v>
      </c>
      <c r="J265" s="43">
        <f>VJD!P26</f>
        <v>21945.42</v>
      </c>
      <c r="K265" s="43">
        <f>VJD!Q26</f>
        <v>0</v>
      </c>
      <c r="L265" s="43">
        <f>VJD!R26</f>
        <v>0</v>
      </c>
    </row>
    <row r="266" spans="1:12" x14ac:dyDescent="0.25">
      <c r="A266" s="35" t="str">
        <f>VJD!G27</f>
        <v>Gouse</v>
      </c>
      <c r="B266" s="35" t="str">
        <f>VJD!H27</f>
        <v>S V J Poultry Farm</v>
      </c>
      <c r="C266" s="43">
        <f>VJD!I27</f>
        <v>313324.14</v>
      </c>
      <c r="D266" s="43">
        <f>VJD!J27</f>
        <v>0</v>
      </c>
      <c r="E266" s="43">
        <f>VJD!K27</f>
        <v>0</v>
      </c>
      <c r="F266" s="43">
        <f>VJD!L27</f>
        <v>0</v>
      </c>
      <c r="G266" s="43">
        <f>VJD!M27</f>
        <v>0</v>
      </c>
      <c r="H266" s="43">
        <f>VJD!N27</f>
        <v>0</v>
      </c>
      <c r="I266" s="43">
        <f>VJD!O27</f>
        <v>0</v>
      </c>
      <c r="J266" s="43">
        <f>VJD!P27</f>
        <v>0</v>
      </c>
      <c r="K266" s="43">
        <f>VJD!Q27</f>
        <v>313324.14</v>
      </c>
      <c r="L266" s="43">
        <f>VJD!R27</f>
        <v>0</v>
      </c>
    </row>
    <row r="267" spans="1:12" x14ac:dyDescent="0.25">
      <c r="A267" s="35" t="str">
        <f>VJD!G28</f>
        <v>Gouse</v>
      </c>
      <c r="B267" s="35" t="str">
        <f>VJD!H28</f>
        <v>V Krishnam Raju Poultries</v>
      </c>
      <c r="C267" s="43">
        <f>VJD!I28</f>
        <v>211742.63</v>
      </c>
      <c r="D267" s="43">
        <f>VJD!J28</f>
        <v>0</v>
      </c>
      <c r="E267" s="43">
        <f>VJD!K28</f>
        <v>0</v>
      </c>
      <c r="F267" s="43">
        <f>VJD!L28</f>
        <v>182479.2</v>
      </c>
      <c r="G267" s="43">
        <f>VJD!M28</f>
        <v>0</v>
      </c>
      <c r="H267" s="43">
        <f>VJD!N28</f>
        <v>0</v>
      </c>
      <c r="I267" s="43">
        <f>VJD!O28</f>
        <v>0</v>
      </c>
      <c r="J267" s="43">
        <f>VJD!P28</f>
        <v>29263.43</v>
      </c>
      <c r="K267" s="43">
        <f>VJD!Q28</f>
        <v>0</v>
      </c>
      <c r="L267" s="43">
        <f>VJD!R28</f>
        <v>0</v>
      </c>
    </row>
    <row r="268" spans="1:12" x14ac:dyDescent="0.25">
      <c r="A268" s="35" t="str">
        <f>VJD!G29</f>
        <v>Gouse</v>
      </c>
      <c r="B268" s="35" t="str">
        <f>VJD!H29</f>
        <v>VVS Muralidhara Poultry Farm</v>
      </c>
      <c r="C268" s="43">
        <f>VJD!I29</f>
        <v>25048</v>
      </c>
      <c r="D268" s="43">
        <f>VJD!J29</f>
        <v>0</v>
      </c>
      <c r="E268" s="43">
        <f>VJD!K29</f>
        <v>0</v>
      </c>
      <c r="F268" s="43">
        <f>VJD!L29</f>
        <v>0</v>
      </c>
      <c r="G268" s="43">
        <f>VJD!M29</f>
        <v>0</v>
      </c>
      <c r="H268" s="43">
        <f>VJD!N29</f>
        <v>0</v>
      </c>
      <c r="I268" s="43">
        <f>VJD!O29</f>
        <v>0</v>
      </c>
      <c r="J268" s="43">
        <f>VJD!P29</f>
        <v>0</v>
      </c>
      <c r="K268" s="43">
        <f>VJD!Q29</f>
        <v>0</v>
      </c>
      <c r="L268" s="43">
        <f>VJD!R29</f>
        <v>25048</v>
      </c>
    </row>
    <row r="269" spans="1:12" x14ac:dyDescent="0.25">
      <c r="A269" s="35" t="str">
        <f>VJD!G30</f>
        <v>Ravibabu</v>
      </c>
      <c r="B269" s="35" t="str">
        <f>VJD!H30</f>
        <v xml:space="preserve">A1 Fresh Chicken &amp; Poultry Centre _x000D_
</v>
      </c>
      <c r="C269" s="43">
        <f>VJD!I30</f>
        <v>299887.15000000002</v>
      </c>
      <c r="D269" s="43">
        <f>VJD!J30</f>
        <v>0</v>
      </c>
      <c r="E269" s="43">
        <f>VJD!K30</f>
        <v>0</v>
      </c>
      <c r="F269" s="43">
        <f>VJD!L30</f>
        <v>0</v>
      </c>
      <c r="G269" s="43">
        <f>VJD!M30</f>
        <v>0</v>
      </c>
      <c r="H269" s="43">
        <f>VJD!N30</f>
        <v>0</v>
      </c>
      <c r="I269" s="43">
        <f>VJD!O30</f>
        <v>0</v>
      </c>
      <c r="J269" s="43">
        <f>VJD!P30</f>
        <v>0</v>
      </c>
      <c r="K269" s="43">
        <f>VJD!Q30</f>
        <v>0</v>
      </c>
      <c r="L269" s="43">
        <f>VJD!R30</f>
        <v>299887.15000000002</v>
      </c>
    </row>
    <row r="270" spans="1:12" x14ac:dyDescent="0.25">
      <c r="A270" s="35" t="str">
        <f>VJD!G31</f>
        <v>Ravibabu</v>
      </c>
      <c r="B270" s="35" t="str">
        <f>VJD!H31</f>
        <v xml:space="preserve">Honey Poultry Feeds_x000D_
</v>
      </c>
      <c r="C270" s="43">
        <f>VJD!I31</f>
        <v>877923</v>
      </c>
      <c r="D270" s="43">
        <f>VJD!J31</f>
        <v>0</v>
      </c>
      <c r="E270" s="43">
        <f>VJD!K31</f>
        <v>0</v>
      </c>
      <c r="F270" s="43">
        <f>VJD!L31</f>
        <v>0</v>
      </c>
      <c r="G270" s="43">
        <f>VJD!M31</f>
        <v>0</v>
      </c>
      <c r="H270" s="43">
        <f>VJD!N31</f>
        <v>0</v>
      </c>
      <c r="I270" s="43">
        <f>VJD!O31</f>
        <v>0</v>
      </c>
      <c r="J270" s="43">
        <f>VJD!P31</f>
        <v>0</v>
      </c>
      <c r="K270" s="43">
        <f>VJD!Q31</f>
        <v>0</v>
      </c>
      <c r="L270" s="43">
        <f>VJD!R31</f>
        <v>877923</v>
      </c>
    </row>
    <row r="271" spans="1:12" x14ac:dyDescent="0.25">
      <c r="A271" s="35" t="str">
        <f>VJD!G32</f>
        <v>Ravibabu</v>
      </c>
      <c r="B271" s="35" t="str">
        <f>VJD!H32</f>
        <v xml:space="preserve">K.R.Traders _x000D_
</v>
      </c>
      <c r="C271" s="43">
        <f>VJD!I32</f>
        <v>157024.79</v>
      </c>
      <c r="D271" s="43">
        <f>VJD!J32</f>
        <v>0</v>
      </c>
      <c r="E271" s="43">
        <f>VJD!K32</f>
        <v>0</v>
      </c>
      <c r="F271" s="43">
        <f>VJD!L32</f>
        <v>0</v>
      </c>
      <c r="G271" s="43">
        <f>VJD!M32</f>
        <v>0</v>
      </c>
      <c r="H271" s="43">
        <f>VJD!N32</f>
        <v>0</v>
      </c>
      <c r="I271" s="43">
        <f>VJD!O32</f>
        <v>0</v>
      </c>
      <c r="J271" s="43">
        <f>VJD!P32</f>
        <v>0</v>
      </c>
      <c r="K271" s="43">
        <f>VJD!Q32</f>
        <v>0</v>
      </c>
      <c r="L271" s="43">
        <f>VJD!R32</f>
        <v>157024.79</v>
      </c>
    </row>
    <row r="272" spans="1:12" x14ac:dyDescent="0.25">
      <c r="A272" s="35" t="str">
        <f>VJD!G33</f>
        <v>Ravibabu</v>
      </c>
      <c r="B272" s="35" t="str">
        <f>VJD!H33</f>
        <v xml:space="preserve">Nalini Poultry Farm_x000D_
</v>
      </c>
      <c r="C272" s="43">
        <f>VJD!I33</f>
        <v>234437</v>
      </c>
      <c r="D272" s="43">
        <f>VJD!J33</f>
        <v>0</v>
      </c>
      <c r="E272" s="43">
        <f>VJD!K33</f>
        <v>0</v>
      </c>
      <c r="F272" s="43">
        <f>VJD!L33</f>
        <v>0</v>
      </c>
      <c r="G272" s="43">
        <f>VJD!M33</f>
        <v>0</v>
      </c>
      <c r="H272" s="43">
        <f>VJD!N33</f>
        <v>0</v>
      </c>
      <c r="I272" s="43">
        <f>VJD!O33</f>
        <v>0</v>
      </c>
      <c r="J272" s="43">
        <f>VJD!P33</f>
        <v>0</v>
      </c>
      <c r="K272" s="43">
        <f>VJD!Q33</f>
        <v>0</v>
      </c>
      <c r="L272" s="43">
        <f>VJD!R33</f>
        <v>234437</v>
      </c>
    </row>
    <row r="273" spans="1:15" x14ac:dyDescent="0.25">
      <c r="A273" s="35" t="str">
        <f>VJD!G34</f>
        <v>Ravibabu</v>
      </c>
      <c r="B273" s="35" t="str">
        <f>VJD!H34</f>
        <v xml:space="preserve">NNR Associates _x000D_
</v>
      </c>
      <c r="C273" s="43">
        <f>VJD!I34</f>
        <v>891238.03</v>
      </c>
      <c r="D273" s="43">
        <f>VJD!J34</f>
        <v>0</v>
      </c>
      <c r="E273" s="43">
        <f>VJD!K34</f>
        <v>0</v>
      </c>
      <c r="F273" s="43">
        <f>VJD!L34</f>
        <v>0</v>
      </c>
      <c r="G273" s="43">
        <f>VJD!M34</f>
        <v>0</v>
      </c>
      <c r="H273" s="43">
        <f>VJD!N34</f>
        <v>0</v>
      </c>
      <c r="I273" s="43">
        <f>VJD!O34</f>
        <v>0</v>
      </c>
      <c r="J273" s="43">
        <f>VJD!P34</f>
        <v>0</v>
      </c>
      <c r="K273" s="43">
        <f>VJD!Q34</f>
        <v>0</v>
      </c>
      <c r="L273" s="43">
        <f>VJD!R34</f>
        <v>891238.03</v>
      </c>
    </row>
    <row r="274" spans="1:15" x14ac:dyDescent="0.25">
      <c r="A274" s="35" t="str">
        <f>VJD!G35</f>
        <v>Ravibabu</v>
      </c>
      <c r="B274" s="35" t="str">
        <f>VJD!H35</f>
        <v>Srinivasa Poultry Farm, Chandrala</v>
      </c>
      <c r="C274" s="43">
        <f>VJD!I35</f>
        <v>458504</v>
      </c>
      <c r="D274" s="43">
        <f>VJD!J35</f>
        <v>0</v>
      </c>
      <c r="E274" s="43">
        <f>VJD!K35</f>
        <v>0</v>
      </c>
      <c r="F274" s="43">
        <f>VJD!L35</f>
        <v>0</v>
      </c>
      <c r="G274" s="43">
        <f>VJD!M35</f>
        <v>0</v>
      </c>
      <c r="H274" s="43">
        <f>VJD!N35</f>
        <v>0</v>
      </c>
      <c r="I274" s="43">
        <f>VJD!O35</f>
        <v>0</v>
      </c>
      <c r="J274" s="43">
        <f>VJD!P35</f>
        <v>0</v>
      </c>
      <c r="K274" s="43">
        <f>VJD!Q35</f>
        <v>0</v>
      </c>
      <c r="L274" s="43">
        <f>VJD!R35</f>
        <v>458504</v>
      </c>
    </row>
    <row r="275" spans="1:15" x14ac:dyDescent="0.25">
      <c r="A275" s="35" t="str">
        <f>VJD!G36</f>
        <v>Ravibabu</v>
      </c>
      <c r="B275" s="35" t="str">
        <f>VJD!H36</f>
        <v xml:space="preserve">Sri Sai Ram Poultry Feeds_x000D_
</v>
      </c>
      <c r="C275" s="43">
        <f>VJD!I36</f>
        <v>647718</v>
      </c>
      <c r="D275" s="43">
        <f>VJD!J36</f>
        <v>0</v>
      </c>
      <c r="E275" s="43">
        <f>VJD!K36</f>
        <v>0</v>
      </c>
      <c r="F275" s="43">
        <f>VJD!L36</f>
        <v>0</v>
      </c>
      <c r="G275" s="43">
        <f>VJD!M36</f>
        <v>0</v>
      </c>
      <c r="H275" s="43">
        <f>VJD!N36</f>
        <v>0</v>
      </c>
      <c r="I275" s="43">
        <f>VJD!O36</f>
        <v>0</v>
      </c>
      <c r="J275" s="43">
        <f>VJD!P36</f>
        <v>0</v>
      </c>
      <c r="K275" s="43">
        <f>VJD!Q36</f>
        <v>0</v>
      </c>
      <c r="L275" s="43">
        <f>VJD!R36</f>
        <v>647718</v>
      </c>
    </row>
    <row r="276" spans="1:15" x14ac:dyDescent="0.25">
      <c r="A276" s="35" t="str">
        <f>VJD!G37</f>
        <v>Ravibabu</v>
      </c>
      <c r="B276" s="35" t="str">
        <f>VJD!H37</f>
        <v xml:space="preserve">T.Vasu Poultry Farm_x000D_
</v>
      </c>
      <c r="C276" s="43">
        <f>VJD!I37</f>
        <v>34317</v>
      </c>
      <c r="D276" s="43">
        <f>VJD!J37</f>
        <v>0</v>
      </c>
      <c r="E276" s="43">
        <f>VJD!K37</f>
        <v>0</v>
      </c>
      <c r="F276" s="43">
        <f>VJD!L37</f>
        <v>0</v>
      </c>
      <c r="G276" s="43">
        <f>VJD!M37</f>
        <v>0</v>
      </c>
      <c r="H276" s="43">
        <f>VJD!N37</f>
        <v>0</v>
      </c>
      <c r="I276" s="43">
        <f>VJD!O37</f>
        <v>0</v>
      </c>
      <c r="J276" s="43">
        <f>VJD!P37</f>
        <v>0</v>
      </c>
      <c r="K276" s="43">
        <f>VJD!Q37</f>
        <v>0</v>
      </c>
      <c r="L276" s="43">
        <f>VJD!R37</f>
        <v>34317</v>
      </c>
    </row>
    <row r="277" spans="1:15" x14ac:dyDescent="0.25">
      <c r="A277" s="35" t="str">
        <f>VJD!G38</f>
        <v>Ravibabu</v>
      </c>
      <c r="B277" s="35" t="str">
        <f>VJD!H38</f>
        <v>Y Ranjth Kumar Poultry Farm</v>
      </c>
      <c r="C277" s="43">
        <f>VJD!I38</f>
        <v>12860.52</v>
      </c>
      <c r="D277" s="43">
        <f>VJD!J38</f>
        <v>0</v>
      </c>
      <c r="E277" s="43">
        <f>VJD!K38</f>
        <v>0</v>
      </c>
      <c r="F277" s="43">
        <f>VJD!L38</f>
        <v>0</v>
      </c>
      <c r="G277" s="43">
        <f>VJD!M38</f>
        <v>0</v>
      </c>
      <c r="H277" s="43">
        <f>VJD!N38</f>
        <v>0</v>
      </c>
      <c r="I277" s="43">
        <f>VJD!O38</f>
        <v>0</v>
      </c>
      <c r="J277" s="43">
        <f>VJD!P38</f>
        <v>0</v>
      </c>
      <c r="K277" s="43">
        <f>VJD!Q38</f>
        <v>12860.52</v>
      </c>
      <c r="L277" s="43">
        <f>VJD!R38</f>
        <v>0</v>
      </c>
    </row>
    <row r="278" spans="1:15" x14ac:dyDescent="0.25">
      <c r="A278" s="35" t="str">
        <f>VJD!G39</f>
        <v>Seetharam</v>
      </c>
      <c r="B278" s="35" t="str">
        <f>VJD!H39</f>
        <v>Abhayanjaneya Poultry Trader's</v>
      </c>
      <c r="C278" s="43">
        <f>VJD!I39</f>
        <v>2991683</v>
      </c>
      <c r="D278" s="43">
        <f>VJD!J39</f>
        <v>2991683</v>
      </c>
      <c r="E278" s="43">
        <f>VJD!K39</f>
        <v>0</v>
      </c>
      <c r="F278" s="43">
        <f>VJD!L39</f>
        <v>0</v>
      </c>
      <c r="G278" s="43">
        <f>VJD!M39</f>
        <v>0</v>
      </c>
      <c r="H278" s="43">
        <f>VJD!N39</f>
        <v>0</v>
      </c>
      <c r="I278" s="43">
        <f>VJD!O39</f>
        <v>0</v>
      </c>
      <c r="J278" s="43">
        <f>VJD!P39</f>
        <v>0</v>
      </c>
      <c r="K278" s="43">
        <f>VJD!Q39</f>
        <v>0</v>
      </c>
      <c r="L278" s="43">
        <f>VJD!R39</f>
        <v>0</v>
      </c>
    </row>
    <row r="279" spans="1:15" x14ac:dyDescent="0.25">
      <c r="A279" s="35" t="str">
        <f>VJD!G40</f>
        <v>Seetharam</v>
      </c>
      <c r="B279" s="35" t="str">
        <f>VJD!H40</f>
        <v>Sai Poultries</v>
      </c>
      <c r="C279" s="43">
        <f>VJD!I40</f>
        <v>1881315</v>
      </c>
      <c r="D279" s="43">
        <f>VJD!J40</f>
        <v>436000</v>
      </c>
      <c r="E279" s="43">
        <f>VJD!K40</f>
        <v>0</v>
      </c>
      <c r="F279" s="43">
        <f>VJD!L40</f>
        <v>0</v>
      </c>
      <c r="G279" s="43">
        <f>VJD!M40</f>
        <v>764500</v>
      </c>
      <c r="H279" s="43">
        <f>VJD!N40</f>
        <v>480150</v>
      </c>
      <c r="I279" s="43">
        <f>VJD!O40</f>
        <v>0</v>
      </c>
      <c r="J279" s="43">
        <f>VJD!P40</f>
        <v>200665</v>
      </c>
      <c r="K279" s="43">
        <f>VJD!Q40</f>
        <v>0</v>
      </c>
      <c r="L279" s="43">
        <f>VJD!R40</f>
        <v>0</v>
      </c>
    </row>
    <row r="280" spans="1:15" x14ac:dyDescent="0.25">
      <c r="A280" s="35" t="str">
        <f>VJD!G41</f>
        <v>Seetharam</v>
      </c>
      <c r="B280" s="35" t="str">
        <f>VJD!H41</f>
        <v>Siva Poultries</v>
      </c>
      <c r="C280" s="43">
        <f>VJD!I41</f>
        <v>1842785</v>
      </c>
      <c r="D280" s="43">
        <f>VJD!J41</f>
        <v>0</v>
      </c>
      <c r="E280" s="43">
        <f>VJD!K41</f>
        <v>0</v>
      </c>
      <c r="F280" s="43">
        <f>VJD!L41</f>
        <v>0</v>
      </c>
      <c r="G280" s="43">
        <f>VJD!M41</f>
        <v>0</v>
      </c>
      <c r="H280" s="43">
        <f>VJD!N41</f>
        <v>0</v>
      </c>
      <c r="I280" s="43">
        <f>VJD!O41</f>
        <v>0</v>
      </c>
      <c r="J280" s="43">
        <f>VJD!P41</f>
        <v>1842785</v>
      </c>
      <c r="K280" s="43">
        <f>VJD!Q41</f>
        <v>0</v>
      </c>
      <c r="L280" s="43">
        <f>VJD!R41</f>
        <v>0</v>
      </c>
    </row>
    <row r="281" spans="1:15" x14ac:dyDescent="0.25">
      <c r="A281" s="35" t="str">
        <f>VJD!G42</f>
        <v>Seetharam</v>
      </c>
      <c r="B281" s="35" t="str">
        <f>VJD!H42</f>
        <v>Sri Devi Poutry Farm, Narasaraopete</v>
      </c>
      <c r="C281" s="43">
        <f>VJD!I42</f>
        <v>1403517.55</v>
      </c>
      <c r="D281" s="43">
        <f>VJD!J42</f>
        <v>537279.4</v>
      </c>
      <c r="E281" s="43">
        <f>VJD!K42</f>
        <v>866238.15</v>
      </c>
      <c r="F281" s="43">
        <f>VJD!L42</f>
        <v>0</v>
      </c>
      <c r="G281" s="43">
        <f>VJD!M42</f>
        <v>0</v>
      </c>
      <c r="H281" s="43">
        <f>VJD!N42</f>
        <v>0</v>
      </c>
      <c r="I281" s="43">
        <f>VJD!O42</f>
        <v>0</v>
      </c>
      <c r="J281" s="43">
        <f>VJD!P42</f>
        <v>0</v>
      </c>
      <c r="K281" s="43">
        <f>VJD!Q42</f>
        <v>0</v>
      </c>
      <c r="L281" s="43">
        <f>VJD!R42</f>
        <v>0</v>
      </c>
    </row>
    <row r="282" spans="1:15" x14ac:dyDescent="0.25">
      <c r="A282" s="35" t="str">
        <f>VJD!G43</f>
        <v>Seetharam</v>
      </c>
      <c r="B282" s="35" t="str">
        <f>VJD!H43</f>
        <v>Venkateswara Rao Poultry Farm</v>
      </c>
      <c r="C282" s="43">
        <f>VJD!I43</f>
        <v>1468223</v>
      </c>
      <c r="D282" s="43">
        <f>VJD!J43</f>
        <v>0</v>
      </c>
      <c r="E282" s="43">
        <f>VJD!K43</f>
        <v>0</v>
      </c>
      <c r="F282" s="43">
        <f>VJD!L43</f>
        <v>0</v>
      </c>
      <c r="G282" s="43">
        <f>VJD!M43</f>
        <v>0</v>
      </c>
      <c r="H282" s="43">
        <f>VJD!N43</f>
        <v>0</v>
      </c>
      <c r="I282" s="43">
        <f>VJD!O43</f>
        <v>0</v>
      </c>
      <c r="J282" s="43">
        <f>VJD!P43</f>
        <v>0</v>
      </c>
      <c r="K282" s="43">
        <f>VJD!Q43</f>
        <v>1468223</v>
      </c>
      <c r="L282" s="43">
        <f>VJD!R43</f>
        <v>0</v>
      </c>
    </row>
    <row r="283" spans="1:15" s="50" customFormat="1" x14ac:dyDescent="0.25">
      <c r="A283" s="47"/>
      <c r="B283" s="47" t="str">
        <f>VJD!H44</f>
        <v>Grand Total</v>
      </c>
      <c r="C283" s="48">
        <f>SUM(C2:C282)</f>
        <v>157381436.69999996</v>
      </c>
      <c r="D283" s="48">
        <f t="shared" ref="D283:L283" si="0">SUM(D2:D282)</f>
        <v>51858576.859999992</v>
      </c>
      <c r="E283" s="48">
        <f t="shared" si="0"/>
        <v>16741511.029999999</v>
      </c>
      <c r="F283" s="48">
        <f t="shared" si="0"/>
        <v>3560176.5500000003</v>
      </c>
      <c r="G283" s="48">
        <f t="shared" si="0"/>
        <v>4144456.9</v>
      </c>
      <c r="H283" s="48">
        <f t="shared" si="0"/>
        <v>5215730.7</v>
      </c>
      <c r="I283" s="48">
        <f t="shared" si="0"/>
        <v>4851068.71</v>
      </c>
      <c r="J283" s="48">
        <f t="shared" si="0"/>
        <v>5998632.75</v>
      </c>
      <c r="K283" s="48">
        <f t="shared" si="0"/>
        <v>7934745.4499999993</v>
      </c>
      <c r="L283" s="48">
        <f t="shared" si="0"/>
        <v>57076537.75</v>
      </c>
      <c r="M283" s="49">
        <f>SUM(D283:L283)</f>
        <v>157381436.69999999</v>
      </c>
      <c r="N283" s="49">
        <f>+C283-M283</f>
        <v>0</v>
      </c>
      <c r="O283" s="67"/>
    </row>
    <row r="285" spans="1:15" x14ac:dyDescent="0.25">
      <c r="C285" s="44">
        <f>KA!I209+TN!I37+TS!I16+TS!I23+VJD!I44</f>
        <v>157517206.69999999</v>
      </c>
    </row>
    <row r="286" spans="1:15" x14ac:dyDescent="0.25">
      <c r="C286" s="44">
        <f>+C283-C285</f>
        <v>-135770.0000000298</v>
      </c>
    </row>
  </sheetData>
  <autoFilter ref="A1:L28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8"/>
  <sheetViews>
    <sheetView topLeftCell="A4" workbookViewId="0">
      <selection activeCell="J71" sqref="J71"/>
    </sheetView>
  </sheetViews>
  <sheetFormatPr defaultRowHeight="15" x14ac:dyDescent="0.25"/>
  <cols>
    <col min="1" max="1" width="31.42578125" bestFit="1" customWidth="1"/>
    <col min="2" max="2" width="14.7109375" customWidth="1"/>
    <col min="4" max="4" width="34.5703125" bestFit="1" customWidth="1"/>
    <col min="5" max="5" width="12.5703125" style="44" bestFit="1" customWidth="1"/>
    <col min="10" max="10" width="43.5703125" bestFit="1" customWidth="1"/>
    <col min="11" max="11" width="10.42578125" bestFit="1" customWidth="1"/>
  </cols>
  <sheetData>
    <row r="1" spans="1:11" x14ac:dyDescent="0.25">
      <c r="A1" s="46" t="s">
        <v>312</v>
      </c>
    </row>
    <row r="3" spans="1:11" x14ac:dyDescent="0.25">
      <c r="A3" s="3" t="s">
        <v>124</v>
      </c>
      <c r="B3" s="4" t="s">
        <v>313</v>
      </c>
      <c r="D3" s="4" t="s">
        <v>297</v>
      </c>
      <c r="E3" s="42" t="s">
        <v>313</v>
      </c>
      <c r="J3" s="4" t="s">
        <v>297</v>
      </c>
      <c r="K3" s="2" t="s">
        <v>313</v>
      </c>
    </row>
    <row r="4" spans="1:11" x14ac:dyDescent="0.25">
      <c r="A4" s="15" t="s">
        <v>314</v>
      </c>
      <c r="B4" s="60">
        <v>2690</v>
      </c>
      <c r="D4" s="35" t="str">
        <f>A4</f>
        <v>A-One Poultry Feed</v>
      </c>
      <c r="E4" s="43">
        <f>B4</f>
        <v>2690</v>
      </c>
      <c r="J4" s="15" t="s">
        <v>338</v>
      </c>
      <c r="K4" s="10">
        <v>8500</v>
      </c>
    </row>
    <row r="5" spans="1:11" x14ac:dyDescent="0.25">
      <c r="A5" s="15" t="s">
        <v>315</v>
      </c>
      <c r="B5" s="60">
        <v>1250</v>
      </c>
      <c r="D5" s="35" t="str">
        <f t="shared" ref="D5:D12" si="0">A5</f>
        <v xml:space="preserve">Bharath Malnad Farms_x000D_
</v>
      </c>
      <c r="E5" s="43">
        <f t="shared" ref="E5:E12" si="1">B5</f>
        <v>1250</v>
      </c>
      <c r="J5" s="15" t="s">
        <v>342</v>
      </c>
      <c r="K5" s="10">
        <v>246514</v>
      </c>
    </row>
    <row r="6" spans="1:11" x14ac:dyDescent="0.25">
      <c r="A6" s="15" t="s">
        <v>316</v>
      </c>
      <c r="B6" s="60">
        <v>100</v>
      </c>
      <c r="D6" s="35" t="str">
        <f t="shared" si="0"/>
        <v>Komala Poultry</v>
      </c>
      <c r="E6" s="43">
        <f t="shared" si="1"/>
        <v>100</v>
      </c>
      <c r="J6" s="15" t="s">
        <v>375</v>
      </c>
      <c r="K6" s="10">
        <v>1500</v>
      </c>
    </row>
    <row r="7" spans="1:11" x14ac:dyDescent="0.25">
      <c r="A7" s="15" t="s">
        <v>227</v>
      </c>
      <c r="B7" s="60">
        <v>135000</v>
      </c>
      <c r="D7" s="35" t="str">
        <f t="shared" si="0"/>
        <v>Lotus Enterprises</v>
      </c>
      <c r="E7" s="43">
        <f t="shared" si="1"/>
        <v>135000</v>
      </c>
      <c r="J7" s="15" t="s">
        <v>314</v>
      </c>
      <c r="K7" s="10">
        <v>2690</v>
      </c>
    </row>
    <row r="8" spans="1:11" x14ac:dyDescent="0.25">
      <c r="A8" s="15" t="s">
        <v>317</v>
      </c>
      <c r="B8" s="60">
        <v>18800</v>
      </c>
      <c r="D8" s="35" t="str">
        <f t="shared" si="0"/>
        <v>M.A. Haji Poultry Farm</v>
      </c>
      <c r="E8" s="43">
        <f t="shared" si="1"/>
        <v>18800</v>
      </c>
      <c r="J8" s="15" t="s">
        <v>315</v>
      </c>
      <c r="K8" s="10">
        <v>1250</v>
      </c>
    </row>
    <row r="9" spans="1:11" x14ac:dyDescent="0.25">
      <c r="A9" s="15" t="s">
        <v>318</v>
      </c>
      <c r="B9" s="60">
        <v>14554</v>
      </c>
      <c r="D9" s="35" t="str">
        <f t="shared" si="0"/>
        <v>SR Agro Farms</v>
      </c>
      <c r="E9" s="43">
        <f t="shared" si="1"/>
        <v>14554</v>
      </c>
      <c r="J9" s="15" t="s">
        <v>376</v>
      </c>
      <c r="K9" s="10">
        <v>53814</v>
      </c>
    </row>
    <row r="10" spans="1:11" x14ac:dyDescent="0.25">
      <c r="A10" s="15" t="s">
        <v>319</v>
      </c>
      <c r="B10" s="60">
        <v>41550</v>
      </c>
      <c r="D10" s="35" t="str">
        <f t="shared" si="0"/>
        <v>Sri Krishna Sai Farms</v>
      </c>
      <c r="E10" s="43">
        <f t="shared" si="1"/>
        <v>41550</v>
      </c>
      <c r="J10" s="15" t="s">
        <v>345</v>
      </c>
      <c r="K10" s="10">
        <v>176390</v>
      </c>
    </row>
    <row r="11" spans="1:11" x14ac:dyDescent="0.25">
      <c r="A11" s="15" t="s">
        <v>320</v>
      </c>
      <c r="B11" s="60">
        <v>29375</v>
      </c>
      <c r="D11" s="35" t="str">
        <f t="shared" si="0"/>
        <v>Sri Puradamma Poultry Feeds &amp; Form</v>
      </c>
      <c r="E11" s="43">
        <f t="shared" si="1"/>
        <v>29375</v>
      </c>
      <c r="J11" s="15" t="s">
        <v>377</v>
      </c>
      <c r="K11" s="10">
        <v>11006.95</v>
      </c>
    </row>
    <row r="12" spans="1:11" x14ac:dyDescent="0.25">
      <c r="A12" s="15" t="s">
        <v>321</v>
      </c>
      <c r="B12" s="60">
        <v>4615.25</v>
      </c>
      <c r="D12" s="35" t="str">
        <f t="shared" si="0"/>
        <v>Sunbiotic Animal Health Pvt Ltd</v>
      </c>
      <c r="E12" s="43">
        <f t="shared" si="1"/>
        <v>4615.25</v>
      </c>
      <c r="J12" s="15" t="s">
        <v>329</v>
      </c>
      <c r="K12" s="10">
        <v>15700</v>
      </c>
    </row>
    <row r="13" spans="1:11" x14ac:dyDescent="0.25">
      <c r="B13" s="61">
        <f>SUM(B4:B12)</f>
        <v>247934.25</v>
      </c>
      <c r="D13" s="35" t="str">
        <f>A15</f>
        <v>Masthan Poultry Farm</v>
      </c>
      <c r="E13" s="43">
        <f>B15</f>
        <v>340</v>
      </c>
      <c r="J13" s="15" t="s">
        <v>378</v>
      </c>
      <c r="K13" s="10">
        <v>12214.54</v>
      </c>
    </row>
    <row r="14" spans="1:11" x14ac:dyDescent="0.25">
      <c r="A14" s="62" t="s">
        <v>207</v>
      </c>
      <c r="B14" s="17"/>
      <c r="D14" s="35" t="str">
        <f t="shared" ref="D14:E14" si="2">A16</f>
        <v>M M Traders</v>
      </c>
      <c r="E14" s="43">
        <f t="shared" si="2"/>
        <v>1000</v>
      </c>
      <c r="J14" s="15" t="s">
        <v>369</v>
      </c>
      <c r="K14" s="10">
        <v>1390</v>
      </c>
    </row>
    <row r="15" spans="1:11" x14ac:dyDescent="0.25">
      <c r="A15" s="15" t="s">
        <v>322</v>
      </c>
      <c r="B15" s="60">
        <v>340</v>
      </c>
      <c r="D15" s="35" t="str">
        <f t="shared" ref="D15:E15" si="3">A17</f>
        <v>Siva Reddy Poultry Farm</v>
      </c>
      <c r="E15" s="43">
        <f t="shared" si="3"/>
        <v>6961</v>
      </c>
      <c r="J15" s="15" t="s">
        <v>316</v>
      </c>
      <c r="K15" s="10">
        <v>100</v>
      </c>
    </row>
    <row r="16" spans="1:11" x14ac:dyDescent="0.25">
      <c r="A16" s="15" t="s">
        <v>323</v>
      </c>
      <c r="B16" s="60">
        <v>1000</v>
      </c>
      <c r="D16" s="35" t="str">
        <f t="shared" ref="D16:E16" si="4">A18</f>
        <v>SJ Traders</v>
      </c>
      <c r="E16" s="43">
        <f t="shared" si="4"/>
        <v>400</v>
      </c>
      <c r="J16" s="15" t="s">
        <v>326</v>
      </c>
      <c r="K16" s="10">
        <v>7200</v>
      </c>
    </row>
    <row r="17" spans="1:11" x14ac:dyDescent="0.25">
      <c r="A17" s="15" t="s">
        <v>324</v>
      </c>
      <c r="B17" s="60">
        <v>6961</v>
      </c>
      <c r="D17" s="35" t="str">
        <f t="shared" ref="D17:E19" si="5">A21</f>
        <v>Krishna Agri Vet</v>
      </c>
      <c r="E17" s="43">
        <f t="shared" si="5"/>
        <v>7200</v>
      </c>
      <c r="J17" s="15" t="s">
        <v>347</v>
      </c>
      <c r="K17" s="10">
        <v>21647</v>
      </c>
    </row>
    <row r="18" spans="1:11" x14ac:dyDescent="0.25">
      <c r="A18" s="15" t="s">
        <v>325</v>
      </c>
      <c r="B18" s="60">
        <v>400</v>
      </c>
      <c r="D18" s="35" t="str">
        <f t="shared" si="5"/>
        <v>Nagendra Nayak</v>
      </c>
      <c r="E18" s="43">
        <f t="shared" si="5"/>
        <v>2000</v>
      </c>
      <c r="J18" s="15" t="s">
        <v>317</v>
      </c>
      <c r="K18" s="10">
        <v>18800</v>
      </c>
    </row>
    <row r="19" spans="1:11" x14ac:dyDescent="0.25">
      <c r="B19" s="61">
        <f>SUM(B15:B18)</f>
        <v>8701</v>
      </c>
      <c r="D19" s="35" t="str">
        <f t="shared" si="5"/>
        <v>Shakthiman Poultry Farm</v>
      </c>
      <c r="E19" s="43">
        <f t="shared" si="5"/>
        <v>4104</v>
      </c>
      <c r="J19" s="15" t="s">
        <v>322</v>
      </c>
      <c r="K19" s="10">
        <v>340</v>
      </c>
    </row>
    <row r="20" spans="1:11" x14ac:dyDescent="0.25">
      <c r="A20" s="62" t="s">
        <v>160</v>
      </c>
      <c r="B20" s="17"/>
      <c r="D20" s="35" t="str">
        <f t="shared" ref="D20:E20" si="6">A26</f>
        <v>GMI Poultry Foods</v>
      </c>
      <c r="E20" s="43">
        <f t="shared" si="6"/>
        <v>90000</v>
      </c>
      <c r="J20" s="15" t="s">
        <v>380</v>
      </c>
      <c r="K20" s="10">
        <v>5605.12</v>
      </c>
    </row>
    <row r="21" spans="1:11" x14ac:dyDescent="0.25">
      <c r="A21" s="15" t="s">
        <v>326</v>
      </c>
      <c r="B21" s="60">
        <v>7200</v>
      </c>
      <c r="D21" s="35" t="str">
        <f t="shared" ref="D21:E21" si="7">A27</f>
        <v>Gouthami Poultry Farm</v>
      </c>
      <c r="E21" s="43">
        <f t="shared" si="7"/>
        <v>15700</v>
      </c>
      <c r="J21" s="15" t="s">
        <v>327</v>
      </c>
      <c r="K21" s="10">
        <v>2000</v>
      </c>
    </row>
    <row r="22" spans="1:11" x14ac:dyDescent="0.25">
      <c r="A22" s="15" t="s">
        <v>327</v>
      </c>
      <c r="B22" s="60">
        <v>2000</v>
      </c>
      <c r="D22" s="35" t="str">
        <f t="shared" ref="D22:E22" si="8">A28</f>
        <v>Laxmi Sai Breeding Farms Pvt Ltd</v>
      </c>
      <c r="E22" s="43">
        <f t="shared" si="8"/>
        <v>10399</v>
      </c>
      <c r="J22" s="15" t="s">
        <v>381</v>
      </c>
      <c r="K22" s="10">
        <v>1247</v>
      </c>
    </row>
    <row r="23" spans="1:11" x14ac:dyDescent="0.25">
      <c r="A23" s="15" t="s">
        <v>328</v>
      </c>
      <c r="B23" s="60">
        <v>4104</v>
      </c>
      <c r="D23" s="35" t="str">
        <f t="shared" ref="D23:E23" si="9">A29</f>
        <v>Mahadeva Poultry Farm</v>
      </c>
      <c r="E23" s="43">
        <f t="shared" si="9"/>
        <v>8136</v>
      </c>
      <c r="J23" s="15" t="s">
        <v>382</v>
      </c>
      <c r="K23" s="10">
        <v>77704.070000000007</v>
      </c>
    </row>
    <row r="24" spans="1:11" x14ac:dyDescent="0.25">
      <c r="B24" s="61">
        <f>SUM(B21:B23)</f>
        <v>13304</v>
      </c>
      <c r="D24" s="35" t="str">
        <f t="shared" ref="D24:E24" si="10">A30</f>
        <v>Nandina Poultry Complex</v>
      </c>
      <c r="E24" s="43">
        <f t="shared" si="10"/>
        <v>3.36</v>
      </c>
      <c r="J24" s="15" t="s">
        <v>349</v>
      </c>
      <c r="K24" s="10">
        <v>17057.75</v>
      </c>
    </row>
    <row r="25" spans="1:11" x14ac:dyDescent="0.25">
      <c r="A25" s="62" t="s">
        <v>225</v>
      </c>
      <c r="B25" s="17"/>
      <c r="D25" s="35" t="str">
        <f t="shared" ref="D25:E25" si="11">A31</f>
        <v>N Mallikharjunarao Poultry farm</v>
      </c>
      <c r="E25" s="43">
        <f t="shared" si="11"/>
        <v>31900</v>
      </c>
      <c r="J25" s="15" t="s">
        <v>383</v>
      </c>
      <c r="K25" s="10">
        <v>9881</v>
      </c>
    </row>
    <row r="26" spans="1:11" x14ac:dyDescent="0.25">
      <c r="A26" s="15" t="s">
        <v>163</v>
      </c>
      <c r="B26" s="60">
        <v>90000</v>
      </c>
      <c r="D26" s="35" t="str">
        <f t="shared" ref="D26:E26" si="12">A32</f>
        <v>Prabhavathi Sunrice Poultry</v>
      </c>
      <c r="E26" s="43">
        <f t="shared" si="12"/>
        <v>28800</v>
      </c>
      <c r="J26" s="15" t="s">
        <v>333</v>
      </c>
      <c r="K26" s="10">
        <v>28800</v>
      </c>
    </row>
    <row r="27" spans="1:11" x14ac:dyDescent="0.25">
      <c r="A27" s="15" t="s">
        <v>329</v>
      </c>
      <c r="B27" s="60">
        <v>15700</v>
      </c>
      <c r="D27" s="35" t="str">
        <f t="shared" ref="D27:E27" si="13">A33</f>
        <v>Samakka Sarakka Poultry farms</v>
      </c>
      <c r="E27" s="43">
        <f t="shared" si="13"/>
        <v>8175</v>
      </c>
      <c r="J27" s="15" t="s">
        <v>351</v>
      </c>
      <c r="K27" s="10">
        <v>2255</v>
      </c>
    </row>
    <row r="28" spans="1:11" x14ac:dyDescent="0.25">
      <c r="A28" s="15" t="s">
        <v>243</v>
      </c>
      <c r="B28" s="60">
        <v>10399</v>
      </c>
      <c r="D28" s="35" t="str">
        <f t="shared" ref="D28:E28" si="14">A34</f>
        <v>Shashidhara Poultry Form</v>
      </c>
      <c r="E28" s="43">
        <f t="shared" si="14"/>
        <v>10920</v>
      </c>
      <c r="J28" s="15" t="s">
        <v>384</v>
      </c>
      <c r="K28" s="10">
        <v>10049.540000000001</v>
      </c>
    </row>
    <row r="29" spans="1:11" x14ac:dyDescent="0.25">
      <c r="A29" s="15" t="s">
        <v>330</v>
      </c>
      <c r="B29" s="60">
        <v>8136</v>
      </c>
      <c r="D29" s="35" t="str">
        <f t="shared" ref="D29:E29" si="15">A35</f>
        <v>Srinivasa Poultry Farm</v>
      </c>
      <c r="E29" s="43">
        <f t="shared" si="15"/>
        <v>9454.94</v>
      </c>
      <c r="J29" s="15" t="s">
        <v>385</v>
      </c>
      <c r="K29" s="10">
        <v>188002</v>
      </c>
    </row>
    <row r="30" spans="1:11" x14ac:dyDescent="0.25">
      <c r="A30" s="15" t="s">
        <v>331</v>
      </c>
      <c r="B30" s="60">
        <v>3.36</v>
      </c>
      <c r="D30" s="35" t="str">
        <f t="shared" ref="D30:E30" si="16">A36</f>
        <v>Sri Sai Poultry Farm</v>
      </c>
      <c r="E30" s="43">
        <f t="shared" si="16"/>
        <v>9719.2999999999993</v>
      </c>
      <c r="J30" s="15" t="s">
        <v>353</v>
      </c>
      <c r="K30" s="10">
        <v>70423</v>
      </c>
    </row>
    <row r="31" spans="1:11" x14ac:dyDescent="0.25">
      <c r="A31" s="15" t="s">
        <v>332</v>
      </c>
      <c r="B31" s="60">
        <v>31900</v>
      </c>
      <c r="D31" s="35" t="str">
        <f t="shared" ref="D31:E31" si="17">A37</f>
        <v>Sri Siddi  Vinayaka Agro Centre</v>
      </c>
      <c r="E31" s="43">
        <f t="shared" si="17"/>
        <v>448000</v>
      </c>
      <c r="J31" s="15" t="s">
        <v>340</v>
      </c>
      <c r="K31" s="10">
        <v>5000</v>
      </c>
    </row>
    <row r="32" spans="1:11" x14ac:dyDescent="0.25">
      <c r="A32" s="15" t="s">
        <v>333</v>
      </c>
      <c r="B32" s="60">
        <v>28800</v>
      </c>
      <c r="D32" s="35" t="str">
        <f t="shared" ref="D32:E32" si="18">A38</f>
        <v>S S Poultry Farm</v>
      </c>
      <c r="E32" s="43">
        <f t="shared" si="18"/>
        <v>100750</v>
      </c>
      <c r="J32" s="15" t="s">
        <v>318</v>
      </c>
      <c r="K32" s="10">
        <v>14554</v>
      </c>
    </row>
    <row r="33" spans="1:11" x14ac:dyDescent="0.25">
      <c r="A33" s="63" t="s">
        <v>334</v>
      </c>
      <c r="B33" s="60">
        <v>8175</v>
      </c>
      <c r="D33" s="35" t="str">
        <f t="shared" ref="D33:E33" si="19">A41</f>
        <v>Aditi Enterprises</v>
      </c>
      <c r="E33" s="43">
        <f t="shared" si="19"/>
        <v>8500</v>
      </c>
      <c r="J33" s="15" t="s">
        <v>386</v>
      </c>
      <c r="K33" s="10">
        <v>46604</v>
      </c>
    </row>
    <row r="34" spans="1:11" x14ac:dyDescent="0.25">
      <c r="A34" s="15" t="s">
        <v>185</v>
      </c>
      <c r="B34" s="60">
        <v>10920</v>
      </c>
      <c r="D34" s="35" t="str">
        <f t="shared" ref="D34:E34" si="20">A42</f>
        <v>CKS Poultry Farm</v>
      </c>
      <c r="E34" s="43">
        <f t="shared" si="20"/>
        <v>3000</v>
      </c>
      <c r="J34" s="15" t="s">
        <v>387</v>
      </c>
      <c r="K34" s="10">
        <v>7965</v>
      </c>
    </row>
    <row r="35" spans="1:11" x14ac:dyDescent="0.25">
      <c r="A35" s="15" t="s">
        <v>335</v>
      </c>
      <c r="B35" s="60">
        <v>9454.94</v>
      </c>
      <c r="D35" s="35" t="str">
        <f t="shared" ref="D35:E35" si="21">A43</f>
        <v>Siva Reddy Poultry Farm</v>
      </c>
      <c r="E35" s="43">
        <f t="shared" si="21"/>
        <v>4000</v>
      </c>
      <c r="J35" s="15" t="s">
        <v>388</v>
      </c>
      <c r="K35" s="10">
        <v>6613</v>
      </c>
    </row>
    <row r="36" spans="1:11" x14ac:dyDescent="0.25">
      <c r="A36" s="15" t="s">
        <v>99</v>
      </c>
      <c r="B36" s="60">
        <v>9719.2999999999993</v>
      </c>
      <c r="D36" s="35" t="str">
        <f t="shared" ref="D36:E36" si="22">A44</f>
        <v>Slv Cattle Feeds</v>
      </c>
      <c r="E36" s="43">
        <f t="shared" si="22"/>
        <v>5000</v>
      </c>
      <c r="J36" s="15" t="s">
        <v>341</v>
      </c>
      <c r="K36" s="10">
        <v>500</v>
      </c>
    </row>
    <row r="37" spans="1:11" x14ac:dyDescent="0.25">
      <c r="A37" s="15" t="s">
        <v>336</v>
      </c>
      <c r="B37" s="60">
        <v>448000</v>
      </c>
      <c r="D37" s="35" t="str">
        <f t="shared" ref="D37:E37" si="23">A45</f>
        <v>Sri Lakshmi Narasimha Poultry &amp; Goat Farm</v>
      </c>
      <c r="E37" s="43">
        <f t="shared" si="23"/>
        <v>500</v>
      </c>
      <c r="J37" s="15" t="s">
        <v>354</v>
      </c>
      <c r="K37" s="10">
        <v>1750</v>
      </c>
    </row>
    <row r="38" spans="1:11" x14ac:dyDescent="0.25">
      <c r="A38" s="15" t="s">
        <v>337</v>
      </c>
      <c r="B38" s="60">
        <v>100750</v>
      </c>
      <c r="D38" s="35" t="str">
        <f t="shared" ref="D38:E38" si="24">A48</f>
        <v>Akash Poultry Farm</v>
      </c>
      <c r="E38" s="43">
        <f t="shared" si="24"/>
        <v>246514</v>
      </c>
      <c r="J38" s="15" t="s">
        <v>320</v>
      </c>
      <c r="K38" s="10">
        <v>29375</v>
      </c>
    </row>
    <row r="39" spans="1:11" x14ac:dyDescent="0.25">
      <c r="B39" s="61">
        <f>SUM(B26:B38)</f>
        <v>771957.6</v>
      </c>
      <c r="D39" s="35" t="str">
        <f t="shared" ref="D39:E39" si="25">A49</f>
        <v>Anilkumar Poultry Farm</v>
      </c>
      <c r="E39" s="43">
        <f t="shared" si="25"/>
        <v>575</v>
      </c>
      <c r="J39" s="15" t="s">
        <v>390</v>
      </c>
      <c r="K39" s="10">
        <v>18876</v>
      </c>
    </row>
    <row r="40" spans="1:11" x14ac:dyDescent="0.25">
      <c r="A40" s="62" t="s">
        <v>198</v>
      </c>
      <c r="B40" s="17"/>
      <c r="D40" s="35" t="str">
        <f t="shared" ref="D40:E40" si="26">A50</f>
        <v xml:space="preserve">Byraveshwara Poultry &amp; Cattel Feeds _x000D_
</v>
      </c>
      <c r="E40" s="43">
        <f t="shared" si="26"/>
        <v>129963</v>
      </c>
      <c r="J40" s="15" t="s">
        <v>391</v>
      </c>
      <c r="K40" s="10">
        <v>1074.52</v>
      </c>
    </row>
    <row r="41" spans="1:11" x14ac:dyDescent="0.25">
      <c r="A41" s="15" t="s">
        <v>338</v>
      </c>
      <c r="B41" s="60">
        <v>8500</v>
      </c>
      <c r="D41" s="35" t="str">
        <f t="shared" ref="D41:E41" si="27">A51</f>
        <v>Demo</v>
      </c>
      <c r="E41" s="43">
        <f t="shared" si="27"/>
        <v>176390</v>
      </c>
      <c r="J41" s="15" t="s">
        <v>393</v>
      </c>
      <c r="K41" s="10">
        <v>11349.5</v>
      </c>
    </row>
    <row r="42" spans="1:11" x14ac:dyDescent="0.25">
      <c r="A42" s="63" t="s">
        <v>339</v>
      </c>
      <c r="B42" s="60">
        <v>3000</v>
      </c>
      <c r="D42" s="35" t="str">
        <f t="shared" ref="D42:E42" si="28">A52</f>
        <v>Harish Poultry Farm</v>
      </c>
      <c r="E42" s="43">
        <f t="shared" si="28"/>
        <v>1647329</v>
      </c>
      <c r="J42" s="15" t="s">
        <v>355</v>
      </c>
      <c r="K42" s="10">
        <v>5050</v>
      </c>
    </row>
    <row r="43" spans="1:11" x14ac:dyDescent="0.25">
      <c r="A43" s="15" t="s">
        <v>324</v>
      </c>
      <c r="B43" s="60">
        <v>4000</v>
      </c>
      <c r="D43" s="35" t="str">
        <f t="shared" ref="D43:E43" si="29">A53</f>
        <v>Maddur Taluk Koli Sakanike Raitra Sahakara Sangha</v>
      </c>
      <c r="E43" s="43">
        <f t="shared" si="29"/>
        <v>21647</v>
      </c>
      <c r="J43" s="15" t="s">
        <v>356</v>
      </c>
      <c r="K43" s="10">
        <v>630</v>
      </c>
    </row>
    <row r="44" spans="1:11" x14ac:dyDescent="0.25">
      <c r="A44" s="15" t="s">
        <v>340</v>
      </c>
      <c r="B44" s="60">
        <v>5000</v>
      </c>
      <c r="D44" s="35" t="str">
        <f t="shared" ref="D44:E44" si="30">A54</f>
        <v>Natural Remedies Pvt Ltd</v>
      </c>
      <c r="E44" s="43">
        <f t="shared" si="30"/>
        <v>3690</v>
      </c>
      <c r="J44" s="15" t="s">
        <v>395</v>
      </c>
      <c r="K44" s="10">
        <v>27988.98</v>
      </c>
    </row>
    <row r="45" spans="1:11" x14ac:dyDescent="0.25">
      <c r="A45" s="15" t="s">
        <v>341</v>
      </c>
      <c r="B45" s="60">
        <v>500</v>
      </c>
      <c r="D45" s="35" t="str">
        <f t="shared" ref="D45:E45" si="31">A55</f>
        <v>Natural Remedies Pvt Ltd, TN</v>
      </c>
      <c r="E45" s="43">
        <f t="shared" si="31"/>
        <v>17057.75</v>
      </c>
      <c r="J45" s="15" t="s">
        <v>396</v>
      </c>
      <c r="K45" s="10">
        <v>9581</v>
      </c>
    </row>
    <row r="46" spans="1:11" x14ac:dyDescent="0.25">
      <c r="B46" s="61">
        <f>SUM(B41:B45)</f>
        <v>21000</v>
      </c>
      <c r="D46" s="35" t="str">
        <f t="shared" ref="D46:E46" si="32">A56</f>
        <v>Pai Traders</v>
      </c>
      <c r="E46" s="43">
        <f t="shared" si="32"/>
        <v>121179</v>
      </c>
      <c r="J46" s="15" t="s">
        <v>357</v>
      </c>
      <c r="K46" s="10">
        <v>29998</v>
      </c>
    </row>
    <row r="47" spans="1:11" x14ac:dyDescent="0.25">
      <c r="A47" s="62" t="s">
        <v>123</v>
      </c>
      <c r="B47" s="17"/>
      <c r="D47" s="35" t="str">
        <f t="shared" ref="D47:E47" si="33">A57</f>
        <v>Ramalinge Gowda Poultry Farm</v>
      </c>
      <c r="E47" s="43">
        <f t="shared" si="33"/>
        <v>2255</v>
      </c>
      <c r="J47" s="15" t="s">
        <v>373</v>
      </c>
      <c r="K47" s="10">
        <v>2500</v>
      </c>
    </row>
    <row r="48" spans="1:11" x14ac:dyDescent="0.25">
      <c r="A48" s="15" t="s">
        <v>342</v>
      </c>
      <c r="B48" s="10">
        <v>246514</v>
      </c>
      <c r="D48" s="35" t="str">
        <f t="shared" ref="D48:E48" si="34">A58</f>
        <v>Real Chicks Poultry</v>
      </c>
      <c r="E48" s="43">
        <f t="shared" si="34"/>
        <v>12000</v>
      </c>
      <c r="J48" s="15" t="s">
        <v>343</v>
      </c>
      <c r="K48" s="10">
        <v>575</v>
      </c>
    </row>
    <row r="49" spans="1:11" x14ac:dyDescent="0.25">
      <c r="A49" s="15" t="s">
        <v>343</v>
      </c>
      <c r="B49" s="10">
        <v>575</v>
      </c>
      <c r="D49" s="35" t="str">
        <f t="shared" ref="D49:E49" si="35">A59</f>
        <v>Shivarudra Poultry Farm</v>
      </c>
      <c r="E49" s="43">
        <f t="shared" si="35"/>
        <v>70423</v>
      </c>
      <c r="J49" s="15" t="s">
        <v>344</v>
      </c>
      <c r="K49" s="10">
        <v>129963</v>
      </c>
    </row>
    <row r="50" spans="1:11" x14ac:dyDescent="0.25">
      <c r="A50" s="15" t="s">
        <v>344</v>
      </c>
      <c r="B50" s="10">
        <v>129963</v>
      </c>
      <c r="D50" s="35" t="str">
        <f t="shared" ref="D50:E50" si="36">A60</f>
        <v>Sri Manjunatha Agencies</v>
      </c>
      <c r="E50" s="43">
        <f t="shared" si="36"/>
        <v>1750</v>
      </c>
      <c r="J50" s="15" t="s">
        <v>339</v>
      </c>
      <c r="K50" s="10">
        <v>3000</v>
      </c>
    </row>
    <row r="51" spans="1:11" x14ac:dyDescent="0.25">
      <c r="A51" s="15" t="s">
        <v>345</v>
      </c>
      <c r="B51" s="10">
        <v>176390</v>
      </c>
      <c r="D51" s="35" t="str">
        <f t="shared" ref="D51:E51" si="37">A61</f>
        <v>Suguna Foods Private Limited  - Drs</v>
      </c>
      <c r="E51" s="43">
        <f t="shared" si="37"/>
        <v>5050</v>
      </c>
      <c r="J51" s="15" t="s">
        <v>374</v>
      </c>
      <c r="K51" s="10">
        <v>82000</v>
      </c>
    </row>
    <row r="52" spans="1:11" x14ac:dyDescent="0.25">
      <c r="A52" s="15" t="s">
        <v>346</v>
      </c>
      <c r="B52" s="10">
        <v>1647329</v>
      </c>
      <c r="D52" s="35" t="str">
        <f t="shared" ref="D52:E52" si="38">A62</f>
        <v>Thamana Poultry Farms</v>
      </c>
      <c r="E52" s="43">
        <f t="shared" si="38"/>
        <v>630</v>
      </c>
      <c r="J52" s="15" t="s">
        <v>365</v>
      </c>
      <c r="K52" s="10">
        <v>16000</v>
      </c>
    </row>
    <row r="53" spans="1:11" x14ac:dyDescent="0.25">
      <c r="A53" s="15" t="s">
        <v>347</v>
      </c>
      <c r="B53" s="10">
        <v>21647</v>
      </c>
      <c r="D53" s="35" t="str">
        <f t="shared" ref="D53:E53" si="39">A63</f>
        <v>Vinayaka Agencies</v>
      </c>
      <c r="E53" s="43">
        <f t="shared" si="39"/>
        <v>29998</v>
      </c>
      <c r="J53" s="15" t="s">
        <v>330</v>
      </c>
      <c r="K53" s="10">
        <v>8136</v>
      </c>
    </row>
    <row r="54" spans="1:11" x14ac:dyDescent="0.25">
      <c r="A54" s="15" t="s">
        <v>348</v>
      </c>
      <c r="B54" s="10">
        <v>3690</v>
      </c>
      <c r="D54" s="35" t="str">
        <f t="shared" ref="D54:E54" si="40">A67</f>
        <v>Nandina Poultry Complex</v>
      </c>
      <c r="E54" s="43">
        <f t="shared" si="40"/>
        <v>415.8</v>
      </c>
      <c r="J54" s="15" t="s">
        <v>323</v>
      </c>
      <c r="K54" s="10">
        <v>1000</v>
      </c>
    </row>
    <row r="55" spans="1:11" x14ac:dyDescent="0.25">
      <c r="A55" s="15" t="s">
        <v>349</v>
      </c>
      <c r="B55" s="10">
        <v>17057.75</v>
      </c>
      <c r="D55" s="35" t="str">
        <f t="shared" ref="D55:E55" si="41">A68</f>
        <v>Santhoshi Maa Farms</v>
      </c>
      <c r="E55" s="43">
        <f t="shared" si="41"/>
        <v>2288.2399999999998</v>
      </c>
      <c r="J55" s="15" t="s">
        <v>348</v>
      </c>
      <c r="K55" s="10">
        <v>119820</v>
      </c>
    </row>
    <row r="56" spans="1:11" x14ac:dyDescent="0.25">
      <c r="A56" s="15" t="s">
        <v>350</v>
      </c>
      <c r="B56" s="10">
        <v>121179</v>
      </c>
      <c r="D56" s="35" t="str">
        <f t="shared" ref="D56:E56" si="42">A69</f>
        <v>Sri Manikanta Farms</v>
      </c>
      <c r="E56" s="43">
        <f t="shared" si="42"/>
        <v>30</v>
      </c>
      <c r="J56" s="15" t="s">
        <v>332</v>
      </c>
      <c r="K56" s="10">
        <v>31900</v>
      </c>
    </row>
    <row r="57" spans="1:11" x14ac:dyDescent="0.25">
      <c r="A57" s="15" t="s">
        <v>351</v>
      </c>
      <c r="B57" s="10">
        <v>2255</v>
      </c>
      <c r="D57" s="35" t="str">
        <f t="shared" ref="D57:E57" si="43">A70</f>
        <v>V. Laxma Reddy</v>
      </c>
      <c r="E57" s="43">
        <f t="shared" si="43"/>
        <v>3000</v>
      </c>
      <c r="J57" s="15" t="s">
        <v>366</v>
      </c>
      <c r="K57" s="10">
        <v>526350</v>
      </c>
    </row>
    <row r="58" spans="1:11" x14ac:dyDescent="0.25">
      <c r="A58" s="15" t="s">
        <v>352</v>
      </c>
      <c r="B58" s="10">
        <v>12000</v>
      </c>
      <c r="D58" s="35" t="str">
        <f t="shared" ref="D58:E58" si="44">A73</f>
        <v>Aerthayil Farms &amp; Feeds</v>
      </c>
      <c r="E58" s="43">
        <f t="shared" si="44"/>
        <v>19516</v>
      </c>
      <c r="J58" s="15" t="s">
        <v>334</v>
      </c>
      <c r="K58" s="10">
        <v>8175</v>
      </c>
    </row>
    <row r="59" spans="1:11" x14ac:dyDescent="0.25">
      <c r="A59" s="15" t="s">
        <v>353</v>
      </c>
      <c r="B59" s="10">
        <v>70423</v>
      </c>
      <c r="D59" s="35" t="str">
        <f t="shared" ref="D59:E59" si="45">A74</f>
        <v>Bismi Chicken Farms</v>
      </c>
      <c r="E59" s="43">
        <f t="shared" si="45"/>
        <v>5000</v>
      </c>
      <c r="J59" s="15" t="s">
        <v>319</v>
      </c>
      <c r="K59" s="10">
        <v>41550</v>
      </c>
    </row>
    <row r="60" spans="1:11" x14ac:dyDescent="0.25">
      <c r="A60" s="15" t="s">
        <v>354</v>
      </c>
      <c r="B60" s="10">
        <v>1750</v>
      </c>
      <c r="D60" s="35" t="str">
        <f t="shared" ref="D60:E60" si="46">A75</f>
        <v>harish Poultry Farm</v>
      </c>
      <c r="E60" s="43">
        <f t="shared" si="46"/>
        <v>1299</v>
      </c>
      <c r="J60" s="15" t="s">
        <v>389</v>
      </c>
      <c r="K60" s="10">
        <v>624</v>
      </c>
    </row>
    <row r="61" spans="1:11" x14ac:dyDescent="0.25">
      <c r="A61" s="15" t="s">
        <v>355</v>
      </c>
      <c r="B61" s="10">
        <v>5050</v>
      </c>
      <c r="D61" s="35" t="str">
        <f t="shared" ref="D61:E61" si="47">A76</f>
        <v>Jaya Kumar Poultry Farm</v>
      </c>
      <c r="E61" s="43">
        <f t="shared" si="47"/>
        <v>45</v>
      </c>
      <c r="J61" s="15" t="s">
        <v>359</v>
      </c>
      <c r="K61" s="10">
        <v>30</v>
      </c>
    </row>
    <row r="62" spans="1:11" x14ac:dyDescent="0.25">
      <c r="A62" s="15" t="s">
        <v>356</v>
      </c>
      <c r="B62" s="10">
        <v>630</v>
      </c>
      <c r="D62" s="35" t="str">
        <f t="shared" ref="D62:E62" si="48">A77</f>
        <v>JJ Traders</v>
      </c>
      <c r="E62" s="43">
        <f t="shared" si="48"/>
        <v>16000</v>
      </c>
      <c r="J62" s="15" t="s">
        <v>336</v>
      </c>
      <c r="K62" s="10">
        <v>448000</v>
      </c>
    </row>
    <row r="63" spans="1:11" x14ac:dyDescent="0.25">
      <c r="A63" s="15" t="s">
        <v>357</v>
      </c>
      <c r="B63" s="10">
        <v>29998</v>
      </c>
      <c r="D63" s="35" t="str">
        <f t="shared" ref="D63:E63" si="49">A78</f>
        <v>Om Sai Ram</v>
      </c>
      <c r="E63" s="43">
        <f t="shared" si="49"/>
        <v>25</v>
      </c>
      <c r="J63" s="15" t="s">
        <v>394</v>
      </c>
      <c r="K63" s="10">
        <v>50700.6</v>
      </c>
    </row>
    <row r="64" spans="1:11" x14ac:dyDescent="0.25">
      <c r="A64" s="19" t="s">
        <v>121</v>
      </c>
      <c r="B64" s="64">
        <f>SUM(B48:B63)</f>
        <v>2486450.75</v>
      </c>
      <c r="D64" s="35" t="str">
        <f t="shared" ref="D64:E64" si="50">A79</f>
        <v>Ponssuvai Chicken</v>
      </c>
      <c r="E64" s="43">
        <f t="shared" si="50"/>
        <v>526350</v>
      </c>
      <c r="J64" s="15" t="s">
        <v>337</v>
      </c>
      <c r="K64" s="10">
        <v>100750</v>
      </c>
    </row>
    <row r="65" spans="1:12" x14ac:dyDescent="0.25">
      <c r="A65" s="62"/>
      <c r="B65" s="17"/>
      <c r="D65" s="35" t="str">
        <f t="shared" ref="D65:E65" si="51">A80</f>
        <v>Sakthi Poultry Feeds</v>
      </c>
      <c r="E65" s="43">
        <f t="shared" si="51"/>
        <v>9225</v>
      </c>
      <c r="J65" s="15" t="s">
        <v>321</v>
      </c>
      <c r="K65" s="10">
        <v>4615.25</v>
      </c>
    </row>
    <row r="66" spans="1:12" x14ac:dyDescent="0.25">
      <c r="A66" s="46" t="s">
        <v>246</v>
      </c>
      <c r="B66" s="17"/>
      <c r="D66" s="35" t="str">
        <f t="shared" ref="D66:E66" si="52">A81</f>
        <v>SJ Traders</v>
      </c>
      <c r="E66" s="43">
        <f t="shared" si="52"/>
        <v>900</v>
      </c>
      <c r="J66" s="15" t="s">
        <v>360</v>
      </c>
      <c r="K66" s="10">
        <v>3000</v>
      </c>
    </row>
    <row r="67" spans="1:12" x14ac:dyDescent="0.25">
      <c r="A67" s="15" t="s">
        <v>331</v>
      </c>
      <c r="B67" s="60">
        <v>415.8</v>
      </c>
      <c r="D67" s="35" t="str">
        <f t="shared" ref="D67:E67" si="53">A84</f>
        <v>Ayaan Feeds</v>
      </c>
      <c r="E67" s="43">
        <f t="shared" si="53"/>
        <v>2550</v>
      </c>
      <c r="J67" s="15" t="s">
        <v>362</v>
      </c>
      <c r="K67" s="10">
        <v>19516</v>
      </c>
    </row>
    <row r="68" spans="1:12" x14ac:dyDescent="0.25">
      <c r="A68" s="15" t="s">
        <v>358</v>
      </c>
      <c r="B68" s="60">
        <v>2288.2399999999998</v>
      </c>
      <c r="D68" s="35" t="str">
        <f t="shared" ref="D68:E68" si="54">A85</f>
        <v>Ideal Ventures</v>
      </c>
      <c r="E68" s="43">
        <f t="shared" si="54"/>
        <v>1390</v>
      </c>
      <c r="J68" s="15" t="s">
        <v>368</v>
      </c>
      <c r="K68" s="10">
        <v>2550</v>
      </c>
    </row>
    <row r="69" spans="1:12" x14ac:dyDescent="0.25">
      <c r="A69" s="15" t="s">
        <v>359</v>
      </c>
      <c r="B69" s="60">
        <v>30</v>
      </c>
      <c r="D69" s="35" t="str">
        <f t="shared" ref="D69:E69" si="55">A86</f>
        <v>M S Feeds</v>
      </c>
      <c r="E69" s="43">
        <f t="shared" si="55"/>
        <v>72000</v>
      </c>
      <c r="J69" s="15" t="s">
        <v>363</v>
      </c>
      <c r="K69" s="10">
        <v>5000</v>
      </c>
    </row>
    <row r="70" spans="1:12" x14ac:dyDescent="0.25">
      <c r="A70" s="15" t="s">
        <v>360</v>
      </c>
      <c r="B70" s="60">
        <v>3000</v>
      </c>
      <c r="D70" s="35" t="str">
        <f t="shared" ref="D70:E70" si="56">A87</f>
        <v>Sakshi Poultry Feed &amp; Farms</v>
      </c>
      <c r="E70" s="43">
        <f t="shared" si="56"/>
        <v>58076.4</v>
      </c>
      <c r="J70" s="15" t="s">
        <v>211</v>
      </c>
      <c r="K70" s="10">
        <v>16600</v>
      </c>
    </row>
    <row r="71" spans="1:12" x14ac:dyDescent="0.25">
      <c r="B71" s="61">
        <f>SUM(B67:B70)</f>
        <v>5734.04</v>
      </c>
      <c r="D71" s="35" t="str">
        <f t="shared" ref="D71:E71" si="57">A88</f>
        <v>Sana Feeds</v>
      </c>
      <c r="E71" s="43">
        <f t="shared" si="57"/>
        <v>5000</v>
      </c>
      <c r="J71" s="15" t="s">
        <v>243</v>
      </c>
      <c r="K71" s="10">
        <v>9674</v>
      </c>
      <c r="L71" s="34">
        <f>K71-E22</f>
        <v>-725</v>
      </c>
    </row>
    <row r="72" spans="1:12" x14ac:dyDescent="0.25">
      <c r="A72" s="46" t="s">
        <v>361</v>
      </c>
      <c r="B72" s="17"/>
      <c r="D72" s="35" t="str">
        <f t="shared" ref="D72:E72" si="58">A89</f>
        <v>S K R Trading</v>
      </c>
      <c r="E72" s="43">
        <f t="shared" si="58"/>
        <v>16425</v>
      </c>
      <c r="J72" s="15" t="s">
        <v>350</v>
      </c>
      <c r="K72" s="10">
        <v>121179</v>
      </c>
    </row>
    <row r="73" spans="1:12" x14ac:dyDescent="0.25">
      <c r="A73" s="15" t="s">
        <v>362</v>
      </c>
      <c r="B73" s="60">
        <v>19516</v>
      </c>
      <c r="D73" s="35" t="str">
        <f t="shared" ref="D73:E73" si="59">A90</f>
        <v>VPF FEEDS</v>
      </c>
      <c r="E73" s="43">
        <f t="shared" si="59"/>
        <v>2500</v>
      </c>
      <c r="J73" s="15" t="s">
        <v>367</v>
      </c>
      <c r="K73" s="10">
        <v>9225</v>
      </c>
    </row>
    <row r="74" spans="1:12" x14ac:dyDescent="0.25">
      <c r="A74" s="15" t="s">
        <v>363</v>
      </c>
      <c r="B74" s="60">
        <v>5000</v>
      </c>
      <c r="D74" s="35" t="str">
        <f t="shared" ref="D74:E74" si="60">A93</f>
        <v>Foodbank Feeds</v>
      </c>
      <c r="E74" s="43">
        <f t="shared" si="60"/>
        <v>82000</v>
      </c>
      <c r="J74" s="15" t="s">
        <v>371</v>
      </c>
      <c r="K74" s="10">
        <v>5000</v>
      </c>
    </row>
    <row r="75" spans="1:12" x14ac:dyDescent="0.25">
      <c r="A75" s="15" t="s">
        <v>364</v>
      </c>
      <c r="B75" s="60">
        <v>1299</v>
      </c>
      <c r="D75" s="35" t="str">
        <f t="shared" ref="D75:E75" si="61">A94</f>
        <v>Haritha Agencies</v>
      </c>
      <c r="E75" s="43">
        <f t="shared" si="61"/>
        <v>447300</v>
      </c>
      <c r="J75" s="15" t="s">
        <v>358</v>
      </c>
      <c r="K75" s="10">
        <v>2288.2399999999998</v>
      </c>
    </row>
    <row r="76" spans="1:12" x14ac:dyDescent="0.25">
      <c r="A76" s="15" t="s">
        <v>208</v>
      </c>
      <c r="B76" s="60">
        <v>45</v>
      </c>
      <c r="D76" s="35" t="str">
        <f t="shared" ref="D76:E76" si="62">A97</f>
        <v>Ali poultry farms</v>
      </c>
      <c r="E76" s="43">
        <f t="shared" si="62"/>
        <v>1500</v>
      </c>
      <c r="J76" s="15" t="s">
        <v>328</v>
      </c>
      <c r="K76" s="10">
        <v>4104</v>
      </c>
    </row>
    <row r="77" spans="1:12" x14ac:dyDescent="0.25">
      <c r="A77" s="15" t="s">
        <v>365</v>
      </c>
      <c r="B77" s="60">
        <v>16000</v>
      </c>
      <c r="D77" s="35" t="str">
        <f t="shared" ref="D77:E77" si="63">A98</f>
        <v>Bharat Poultry Farms</v>
      </c>
      <c r="E77" s="43">
        <f t="shared" si="63"/>
        <v>53814</v>
      </c>
      <c r="J77" s="15" t="s">
        <v>324</v>
      </c>
      <c r="K77" s="10">
        <v>10961</v>
      </c>
    </row>
    <row r="78" spans="1:12" x14ac:dyDescent="0.25">
      <c r="A78" s="15" t="s">
        <v>223</v>
      </c>
      <c r="B78" s="60">
        <v>25</v>
      </c>
      <c r="D78" s="35" t="str">
        <f t="shared" ref="D78:E78" si="64">A99</f>
        <v>Devi Poultry Farm</v>
      </c>
      <c r="E78" s="43">
        <f t="shared" si="64"/>
        <v>11006.95</v>
      </c>
      <c r="J78" s="15" t="s">
        <v>325</v>
      </c>
      <c r="K78" s="10">
        <v>1300</v>
      </c>
    </row>
    <row r="79" spans="1:12" x14ac:dyDescent="0.25">
      <c r="A79" s="15" t="s">
        <v>366</v>
      </c>
      <c r="B79" s="60">
        <v>526350</v>
      </c>
      <c r="D79" s="35" t="str">
        <f t="shared" ref="D79:E79" si="65">A100</f>
        <v>G.V.Soma Raju Poultry Farm</v>
      </c>
      <c r="E79" s="43">
        <f t="shared" si="65"/>
        <v>12214.54</v>
      </c>
      <c r="J79" s="15" t="s">
        <v>372</v>
      </c>
      <c r="K79" s="10">
        <v>16425</v>
      </c>
    </row>
    <row r="80" spans="1:12" x14ac:dyDescent="0.25">
      <c r="A80" s="15" t="s">
        <v>367</v>
      </c>
      <c r="B80" s="60">
        <v>9225</v>
      </c>
      <c r="D80" s="35" t="str">
        <f t="shared" ref="D80:E80" si="66">A101</f>
        <v>MDR Poultry Farm</v>
      </c>
      <c r="E80" s="43">
        <f t="shared" si="66"/>
        <v>18170</v>
      </c>
      <c r="J80" s="15" t="s">
        <v>392</v>
      </c>
      <c r="K80" s="10">
        <v>984</v>
      </c>
    </row>
    <row r="81" spans="1:11" x14ac:dyDescent="0.25">
      <c r="A81" s="15" t="s">
        <v>325</v>
      </c>
      <c r="B81" s="60">
        <v>900</v>
      </c>
      <c r="D81" s="35" t="str">
        <f t="shared" ref="D81:E81" si="67">A102</f>
        <v>Nagabhushanarao Poultry Farm</v>
      </c>
      <c r="E81" s="43">
        <f t="shared" si="67"/>
        <v>5605.12</v>
      </c>
      <c r="J81" s="15" t="s">
        <v>399</v>
      </c>
      <c r="K81" s="10">
        <v>5869.99</v>
      </c>
    </row>
    <row r="82" spans="1:11" x14ac:dyDescent="0.25">
      <c r="B82" s="61">
        <f>SUM(B73:B81)</f>
        <v>578360</v>
      </c>
      <c r="D82" s="35" t="str">
        <f t="shared" ref="D82:E82" si="68">A103</f>
        <v>Nalluri phanikumar</v>
      </c>
      <c r="E82" s="43">
        <f t="shared" si="68"/>
        <v>1247</v>
      </c>
      <c r="J82" s="15" t="s">
        <v>379</v>
      </c>
      <c r="K82" s="10">
        <v>18170</v>
      </c>
    </row>
    <row r="83" spans="1:11" x14ac:dyDescent="0.25">
      <c r="A83" s="62" t="s">
        <v>209</v>
      </c>
      <c r="B83" s="17"/>
      <c r="D83" s="35" t="str">
        <f t="shared" ref="D83:E83" si="69">A104</f>
        <v xml:space="preserve">Nandini Poultry Farm _x000D_
</v>
      </c>
      <c r="E83" s="43">
        <f t="shared" si="69"/>
        <v>77704.070000000007</v>
      </c>
      <c r="J83" s="15" t="s">
        <v>331</v>
      </c>
      <c r="K83" s="10">
        <v>419.16</v>
      </c>
    </row>
    <row r="84" spans="1:11" x14ac:dyDescent="0.25">
      <c r="A84" s="15" t="s">
        <v>368</v>
      </c>
      <c r="B84" s="60">
        <v>2550</v>
      </c>
      <c r="D84" s="35" t="str">
        <f t="shared" ref="D84:E84" si="70">A105</f>
        <v>N Subbarao</v>
      </c>
      <c r="E84" s="43">
        <f t="shared" si="70"/>
        <v>9881</v>
      </c>
      <c r="J84" s="15" t="s">
        <v>352</v>
      </c>
      <c r="K84" s="10">
        <v>12000</v>
      </c>
    </row>
    <row r="85" spans="1:11" x14ac:dyDescent="0.25">
      <c r="A85" s="15" t="s">
        <v>369</v>
      </c>
      <c r="B85" s="60">
        <v>1390</v>
      </c>
      <c r="D85" s="35" t="str">
        <f t="shared" ref="D85:E85" si="71">A106</f>
        <v xml:space="preserve">Satyanarayana Poultries _x000D_
</v>
      </c>
      <c r="E85" s="43">
        <f t="shared" si="71"/>
        <v>10049.540000000001</v>
      </c>
      <c r="J85" s="15" t="s">
        <v>370</v>
      </c>
      <c r="K85" s="10">
        <v>58076.4</v>
      </c>
    </row>
    <row r="86" spans="1:11" x14ac:dyDescent="0.25">
      <c r="A86" s="15" t="s">
        <v>218</v>
      </c>
      <c r="B86" s="60">
        <v>72000</v>
      </c>
      <c r="D86" s="35" t="str">
        <f t="shared" ref="D86:E86" si="72">A107</f>
        <v>Sekhar poultry Farm</v>
      </c>
      <c r="E86" s="43">
        <f t="shared" si="72"/>
        <v>188002</v>
      </c>
      <c r="J86" s="15" t="s">
        <v>398</v>
      </c>
      <c r="K86" s="10">
        <v>4500</v>
      </c>
    </row>
    <row r="87" spans="1:11" x14ac:dyDescent="0.25">
      <c r="A87" s="15" t="s">
        <v>370</v>
      </c>
      <c r="B87" s="60">
        <v>58076.4</v>
      </c>
      <c r="D87" s="35" t="str">
        <f t="shared" ref="D87:E87" si="73">A108</f>
        <v>Sribala Balaji Srinivasa PF</v>
      </c>
      <c r="E87" s="43">
        <f t="shared" si="73"/>
        <v>46604</v>
      </c>
      <c r="J87" s="15" t="s">
        <v>335</v>
      </c>
      <c r="K87" s="10">
        <v>9454.94</v>
      </c>
    </row>
    <row r="88" spans="1:11" x14ac:dyDescent="0.25">
      <c r="A88" s="15" t="s">
        <v>371</v>
      </c>
      <c r="B88" s="60">
        <v>5000</v>
      </c>
      <c r="D88" s="35" t="str">
        <f t="shared" ref="D88:E88" si="74">A109</f>
        <v>Sri Devi Durga Poultry Farm</v>
      </c>
      <c r="E88" s="43">
        <f t="shared" si="74"/>
        <v>7965</v>
      </c>
      <c r="J88" s="15" t="s">
        <v>346</v>
      </c>
      <c r="K88" s="10">
        <v>1647878</v>
      </c>
    </row>
    <row r="89" spans="1:11" x14ac:dyDescent="0.25">
      <c r="A89" s="15" t="s">
        <v>372</v>
      </c>
      <c r="B89" s="60">
        <v>16425</v>
      </c>
      <c r="D89" s="35" t="str">
        <f t="shared" ref="D89:E89" si="75">A110</f>
        <v>Sri Gayathri Poultry Farm</v>
      </c>
      <c r="E89" s="43">
        <f t="shared" si="75"/>
        <v>6613</v>
      </c>
      <c r="J89" s="3" t="s">
        <v>121</v>
      </c>
      <c r="K89" s="13">
        <f>SUM(K4:K88)</f>
        <v>4768853.5500000007</v>
      </c>
    </row>
    <row r="90" spans="1:11" x14ac:dyDescent="0.25">
      <c r="A90" s="15" t="s">
        <v>373</v>
      </c>
      <c r="B90" s="60">
        <v>2500</v>
      </c>
      <c r="D90" s="35" t="str">
        <f t="shared" ref="D90:E90" si="76">A111</f>
        <v>Sri Lakshmi Sai Poultry Farm</v>
      </c>
      <c r="E90" s="43">
        <f t="shared" si="76"/>
        <v>624</v>
      </c>
    </row>
    <row r="91" spans="1:11" x14ac:dyDescent="0.25">
      <c r="B91" s="61">
        <f>SUM(B84:B90)</f>
        <v>157941.4</v>
      </c>
      <c r="D91" s="35" t="str">
        <f t="shared" ref="D91:E91" si="77">A112</f>
        <v>Sri Sai Harsha Poultry Farm</v>
      </c>
      <c r="E91" s="43">
        <f t="shared" si="77"/>
        <v>18876</v>
      </c>
    </row>
    <row r="92" spans="1:11" x14ac:dyDescent="0.25">
      <c r="A92" s="46" t="s">
        <v>224</v>
      </c>
      <c r="B92" s="17"/>
      <c r="D92" s="35" t="str">
        <f t="shared" ref="D92:E92" si="78">A113</f>
        <v>Sri Satya Poultries</v>
      </c>
      <c r="E92" s="43">
        <f t="shared" si="78"/>
        <v>1074.52</v>
      </c>
    </row>
    <row r="93" spans="1:11" x14ac:dyDescent="0.25">
      <c r="A93" s="15" t="s">
        <v>374</v>
      </c>
      <c r="B93" s="60">
        <v>82000</v>
      </c>
      <c r="D93" s="35" t="str">
        <f t="shared" ref="D93:E93" si="79">A114</f>
        <v>Sri Venkataramana poultries</v>
      </c>
      <c r="E93" s="43">
        <f t="shared" si="79"/>
        <v>984</v>
      </c>
    </row>
    <row r="94" spans="1:11" x14ac:dyDescent="0.25">
      <c r="A94" s="15" t="s">
        <v>211</v>
      </c>
      <c r="B94" s="60">
        <v>447300</v>
      </c>
      <c r="D94" s="35" t="str">
        <f t="shared" ref="D94:E94" si="80">A115</f>
        <v xml:space="preserve">Sri Venkateshwara Poultry Farm_x000D_
</v>
      </c>
      <c r="E94" s="43">
        <f t="shared" si="80"/>
        <v>11349.5</v>
      </c>
    </row>
    <row r="95" spans="1:11" x14ac:dyDescent="0.25">
      <c r="B95" s="61">
        <f>SUM(B93:B94)</f>
        <v>529300</v>
      </c>
      <c r="D95" s="35" t="str">
        <f t="shared" ref="D95:E95" si="81">A116</f>
        <v>Sri Venkateswara Poultry Farm</v>
      </c>
      <c r="E95" s="43">
        <f t="shared" si="81"/>
        <v>50700.6</v>
      </c>
      <c r="J95" s="34">
        <f>E100-K89</f>
        <v>633754.30000000075</v>
      </c>
    </row>
    <row r="96" spans="1:11" x14ac:dyDescent="0.25">
      <c r="A96" s="46" t="s">
        <v>249</v>
      </c>
      <c r="D96" s="35" t="str">
        <f t="shared" ref="D96:E96" si="82">A117</f>
        <v>Venkata Krishna Poultry Farms</v>
      </c>
      <c r="E96" s="43">
        <f t="shared" si="82"/>
        <v>27988.98</v>
      </c>
    </row>
    <row r="97" spans="1:5" x14ac:dyDescent="0.25">
      <c r="A97" s="15" t="s">
        <v>375</v>
      </c>
      <c r="B97" s="10">
        <v>1500</v>
      </c>
      <c r="D97" s="35" t="str">
        <f t="shared" ref="D97:E97" si="83">A118</f>
        <v>Venkateshwara Poultry Farm, Arathamuru</v>
      </c>
      <c r="E97" s="43">
        <f t="shared" si="83"/>
        <v>9581</v>
      </c>
    </row>
    <row r="98" spans="1:5" x14ac:dyDescent="0.25">
      <c r="A98" s="15" t="s">
        <v>376</v>
      </c>
      <c r="B98" s="10">
        <v>53814</v>
      </c>
      <c r="D98" s="35" t="str">
        <f t="shared" ref="D98:E98" si="84">A122</f>
        <v>S S Poultries</v>
      </c>
      <c r="E98" s="43">
        <f t="shared" si="84"/>
        <v>4500</v>
      </c>
    </row>
    <row r="99" spans="1:5" x14ac:dyDescent="0.25">
      <c r="A99" s="65" t="s">
        <v>377</v>
      </c>
      <c r="B99" s="10">
        <v>11006.95</v>
      </c>
      <c r="D99" s="35" t="str">
        <f t="shared" ref="D99:E99" si="85">A123</f>
        <v>Vivo Enterprises</v>
      </c>
      <c r="E99" s="43">
        <f t="shared" si="85"/>
        <v>5869.99</v>
      </c>
    </row>
    <row r="100" spans="1:5" x14ac:dyDescent="0.25">
      <c r="A100" s="15" t="s">
        <v>378</v>
      </c>
      <c r="B100" s="10">
        <v>12214.54</v>
      </c>
      <c r="D100" s="12"/>
      <c r="E100" s="45">
        <f>SUM(E4:E99)</f>
        <v>5402607.8500000015</v>
      </c>
    </row>
    <row r="101" spans="1:5" x14ac:dyDescent="0.25">
      <c r="A101" s="15" t="s">
        <v>379</v>
      </c>
      <c r="B101" s="10">
        <v>18170</v>
      </c>
    </row>
    <row r="102" spans="1:5" x14ac:dyDescent="0.25">
      <c r="A102" s="15" t="s">
        <v>380</v>
      </c>
      <c r="B102" s="10">
        <v>5605.12</v>
      </c>
    </row>
    <row r="103" spans="1:5" x14ac:dyDescent="0.25">
      <c r="A103" s="15" t="s">
        <v>381</v>
      </c>
      <c r="B103" s="10">
        <v>1247</v>
      </c>
    </row>
    <row r="104" spans="1:5" x14ac:dyDescent="0.25">
      <c r="A104" s="15" t="s">
        <v>382</v>
      </c>
      <c r="B104" s="10">
        <v>77704.070000000007</v>
      </c>
    </row>
    <row r="105" spans="1:5" x14ac:dyDescent="0.25">
      <c r="A105" s="15" t="s">
        <v>383</v>
      </c>
      <c r="B105" s="10">
        <v>9881</v>
      </c>
    </row>
    <row r="106" spans="1:5" x14ac:dyDescent="0.25">
      <c r="A106" s="15" t="s">
        <v>384</v>
      </c>
      <c r="B106" s="10">
        <v>10049.540000000001</v>
      </c>
    </row>
    <row r="107" spans="1:5" x14ac:dyDescent="0.25">
      <c r="A107" s="15" t="s">
        <v>385</v>
      </c>
      <c r="B107" s="10">
        <v>188002</v>
      </c>
    </row>
    <row r="108" spans="1:5" x14ac:dyDescent="0.25">
      <c r="A108" s="15" t="s">
        <v>386</v>
      </c>
      <c r="B108" s="10">
        <v>46604</v>
      </c>
    </row>
    <row r="109" spans="1:5" x14ac:dyDescent="0.25">
      <c r="A109" s="15" t="s">
        <v>387</v>
      </c>
      <c r="B109" s="10">
        <v>7965</v>
      </c>
    </row>
    <row r="110" spans="1:5" x14ac:dyDescent="0.25">
      <c r="A110" s="15" t="s">
        <v>388</v>
      </c>
      <c r="B110" s="10">
        <v>6613</v>
      </c>
    </row>
    <row r="111" spans="1:5" x14ac:dyDescent="0.25">
      <c r="A111" s="15" t="s">
        <v>389</v>
      </c>
      <c r="B111" s="10">
        <v>624</v>
      </c>
    </row>
    <row r="112" spans="1:5" x14ac:dyDescent="0.25">
      <c r="A112" s="15" t="s">
        <v>390</v>
      </c>
      <c r="B112" s="10">
        <v>18876</v>
      </c>
    </row>
    <row r="113" spans="1:2" x14ac:dyDescent="0.25">
      <c r="A113" s="15" t="s">
        <v>391</v>
      </c>
      <c r="B113" s="10">
        <v>1074.52</v>
      </c>
    </row>
    <row r="114" spans="1:2" x14ac:dyDescent="0.25">
      <c r="A114" s="15" t="s">
        <v>392</v>
      </c>
      <c r="B114" s="10">
        <v>984</v>
      </c>
    </row>
    <row r="115" spans="1:2" x14ac:dyDescent="0.25">
      <c r="A115" s="15" t="s">
        <v>393</v>
      </c>
      <c r="B115" s="10">
        <v>11349.5</v>
      </c>
    </row>
    <row r="116" spans="1:2" x14ac:dyDescent="0.25">
      <c r="A116" s="15" t="s">
        <v>394</v>
      </c>
      <c r="B116" s="10">
        <v>50700.6</v>
      </c>
    </row>
    <row r="117" spans="1:2" x14ac:dyDescent="0.25">
      <c r="A117" s="15" t="s">
        <v>395</v>
      </c>
      <c r="B117" s="10">
        <v>27988.98</v>
      </c>
    </row>
    <row r="118" spans="1:2" x14ac:dyDescent="0.25">
      <c r="A118" s="15" t="s">
        <v>396</v>
      </c>
      <c r="B118" s="10">
        <v>9581</v>
      </c>
    </row>
    <row r="119" spans="1:2" x14ac:dyDescent="0.25">
      <c r="A119" s="19" t="s">
        <v>121</v>
      </c>
      <c r="B119" s="61">
        <v>571554.81999999995</v>
      </c>
    </row>
    <row r="121" spans="1:2" x14ac:dyDescent="0.25">
      <c r="A121" s="62" t="s">
        <v>397</v>
      </c>
    </row>
    <row r="122" spans="1:2" x14ac:dyDescent="0.25">
      <c r="A122" s="15" t="s">
        <v>398</v>
      </c>
      <c r="B122" s="10">
        <v>4500</v>
      </c>
    </row>
    <row r="123" spans="1:2" x14ac:dyDescent="0.25">
      <c r="A123" s="15" t="s">
        <v>399</v>
      </c>
      <c r="B123" s="10">
        <v>5869.99</v>
      </c>
    </row>
    <row r="124" spans="1:2" x14ac:dyDescent="0.25">
      <c r="A124" s="12"/>
      <c r="B124" s="64">
        <v>10369.99</v>
      </c>
    </row>
    <row r="125" spans="1:2" x14ac:dyDescent="0.25">
      <c r="A125" s="4" t="s">
        <v>311</v>
      </c>
      <c r="B125" s="66">
        <f>B13+B19+B24+B39+B46+B64+B71+B82+B91+B95+B119+B124</f>
        <v>5402607.8500000006</v>
      </c>
    </row>
    <row r="127" spans="1:2" x14ac:dyDescent="0.25">
      <c r="B127" s="59"/>
    </row>
    <row r="128" spans="1:2" x14ac:dyDescent="0.25">
      <c r="B128" s="34"/>
    </row>
  </sheetData>
  <autoFilter ref="D3:K100"/>
  <conditionalFormatting sqref="D4:D99 J4:J88">
    <cfRule type="duplicateValues" dxfId="394" priority="37"/>
  </conditionalFormatting>
  <conditionalFormatting sqref="A94">
    <cfRule type="duplicateValues" dxfId="393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topLeftCell="B1" workbookViewId="0">
      <selection activeCell="B1" sqref="B1:B1048576"/>
    </sheetView>
  </sheetViews>
  <sheetFormatPr defaultRowHeight="15" x14ac:dyDescent="0.25"/>
  <cols>
    <col min="1" max="1" width="10.85546875" hidden="1" customWidth="1"/>
    <col min="2" max="2" width="16" bestFit="1" customWidth="1"/>
    <col min="3" max="3" width="14.5703125" style="44" customWidth="1"/>
    <col min="4" max="4" width="12.85546875" style="44" hidden="1" customWidth="1"/>
    <col min="5" max="8" width="14.28515625" style="44" hidden="1" customWidth="1"/>
    <col min="9" max="9" width="15.28515625" style="44" hidden="1" customWidth="1"/>
    <col min="10" max="11" width="16.28515625" style="44" hidden="1" customWidth="1"/>
    <col min="12" max="12" width="13.85546875" style="44" hidden="1" customWidth="1"/>
    <col min="13" max="13" width="0" hidden="1" customWidth="1"/>
    <col min="14" max="14" width="14.28515625" style="44" hidden="1" customWidth="1"/>
    <col min="15" max="15" width="32.28515625" hidden="1" customWidth="1"/>
  </cols>
  <sheetData>
    <row r="1" spans="1:15" x14ac:dyDescent="0.25">
      <c r="B1" s="46" t="str">
        <f>A3</f>
        <v>Adarsh</v>
      </c>
      <c r="C1" s="51" t="s">
        <v>310</v>
      </c>
    </row>
    <row r="2" spans="1:15" ht="30" x14ac:dyDescent="0.25">
      <c r="A2" t="s">
        <v>122</v>
      </c>
      <c r="B2" t="s">
        <v>297</v>
      </c>
      <c r="C2" s="44" t="s">
        <v>0</v>
      </c>
      <c r="D2" s="44" t="s">
        <v>1</v>
      </c>
      <c r="E2" s="44" t="s">
        <v>2</v>
      </c>
      <c r="F2" s="44" t="s">
        <v>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N2" s="70" t="s">
        <v>403</v>
      </c>
      <c r="O2" s="70" t="s">
        <v>404</v>
      </c>
    </row>
    <row r="3" spans="1:15" x14ac:dyDescent="0.25">
      <c r="A3" t="s">
        <v>210</v>
      </c>
      <c r="B3" t="s">
        <v>211</v>
      </c>
      <c r="C3" s="44">
        <v>430700</v>
      </c>
      <c r="D3" s="44">
        <v>430700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N3" s="43"/>
      <c r="O3" s="12"/>
    </row>
    <row r="4" spans="1:15" x14ac:dyDescent="0.25">
      <c r="A4" t="s">
        <v>210</v>
      </c>
      <c r="B4" t="s">
        <v>294</v>
      </c>
      <c r="C4" s="44">
        <v>190900</v>
      </c>
      <c r="D4" s="44">
        <v>0</v>
      </c>
      <c r="E4" s="44">
        <v>0</v>
      </c>
      <c r="F4" s="44">
        <v>0</v>
      </c>
      <c r="G4" s="44">
        <v>190900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N4" s="43">
        <v>340900</v>
      </c>
      <c r="O4" s="12"/>
    </row>
    <row r="5" spans="1:15" x14ac:dyDescent="0.25">
      <c r="A5" t="s">
        <v>210</v>
      </c>
      <c r="B5" t="s">
        <v>212</v>
      </c>
      <c r="C5" s="44">
        <v>475</v>
      </c>
      <c r="D5" s="44">
        <v>0</v>
      </c>
      <c r="E5" s="44">
        <v>0</v>
      </c>
      <c r="F5" s="44">
        <v>0</v>
      </c>
      <c r="G5" s="44">
        <v>475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N5" s="43"/>
      <c r="O5" s="12"/>
    </row>
    <row r="6" spans="1:15" x14ac:dyDescent="0.25">
      <c r="B6" t="s">
        <v>311</v>
      </c>
      <c r="C6" s="52">
        <f>SUBTOTAL(109,Table2[Pending Bills])</f>
        <v>622075</v>
      </c>
      <c r="D6" s="52">
        <f>SUBTOTAL(109,Table2[(&lt; 15 days )])</f>
        <v>430700</v>
      </c>
      <c r="E6" s="52">
        <f>SUBTOTAL(109,Table2[15 to 30 days])</f>
        <v>0</v>
      </c>
      <c r="F6" s="52">
        <f>SUBTOTAL(109,Table2[30 to 45 days])</f>
        <v>0</v>
      </c>
      <c r="G6" s="52">
        <f>SUBTOTAL(109,Table2[45 to 60 days])</f>
        <v>191375</v>
      </c>
      <c r="H6" s="52">
        <f>SUBTOTAL(109,Table2[60 to 90 days])</f>
        <v>0</v>
      </c>
      <c r="I6" s="52">
        <f>SUBTOTAL(109,Table2[90 to 180 days])</f>
        <v>0</v>
      </c>
      <c r="J6" s="52">
        <f>SUBTOTAL(109,Table2[180 to 365 days])</f>
        <v>0</v>
      </c>
      <c r="K6" s="52">
        <f>SUBTOTAL(109,Table2[365 to 730 days])</f>
        <v>0</v>
      </c>
      <c r="L6" s="52">
        <f>SUBTOTAL(109,Table2[(&gt; 730 days )])</f>
        <v>0</v>
      </c>
      <c r="N6" s="43"/>
      <c r="O6" s="12"/>
    </row>
    <row r="8" spans="1:15" x14ac:dyDescent="0.25">
      <c r="B8" s="46" t="str">
        <f>A10</f>
        <v>Nebu John</v>
      </c>
      <c r="C8" s="51" t="s">
        <v>310</v>
      </c>
    </row>
    <row r="9" spans="1:15" ht="30" x14ac:dyDescent="0.25">
      <c r="A9" t="s">
        <v>122</v>
      </c>
      <c r="B9" t="s">
        <v>297</v>
      </c>
      <c r="C9" s="44" t="s">
        <v>0</v>
      </c>
      <c r="D9" s="44" t="s">
        <v>1</v>
      </c>
      <c r="E9" s="44" t="s">
        <v>2</v>
      </c>
      <c r="F9" s="44" t="s">
        <v>3</v>
      </c>
      <c r="G9" s="44" t="s">
        <v>4</v>
      </c>
      <c r="H9" s="44" t="s">
        <v>5</v>
      </c>
      <c r="I9" s="44" t="s">
        <v>6</v>
      </c>
      <c r="J9" s="44" t="s">
        <v>7</v>
      </c>
      <c r="K9" s="44" t="s">
        <v>8</v>
      </c>
      <c r="L9" s="44" t="s">
        <v>9</v>
      </c>
      <c r="N9" s="70" t="s">
        <v>403</v>
      </c>
      <c r="O9" s="70" t="s">
        <v>404</v>
      </c>
    </row>
    <row r="10" spans="1:15" x14ac:dyDescent="0.25">
      <c r="A10" t="s">
        <v>213</v>
      </c>
      <c r="B10" t="s">
        <v>214</v>
      </c>
      <c r="C10" s="44">
        <v>3013130</v>
      </c>
      <c r="D10" s="44">
        <v>572360</v>
      </c>
      <c r="E10" s="44">
        <v>2440770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N10" s="43">
        <v>4203202.3600000003</v>
      </c>
      <c r="O10" s="12" t="s">
        <v>406</v>
      </c>
    </row>
    <row r="11" spans="1:15" x14ac:dyDescent="0.25">
      <c r="A11" t="s">
        <v>213</v>
      </c>
      <c r="B11" t="s">
        <v>214</v>
      </c>
      <c r="C11" s="44">
        <v>2893087.36</v>
      </c>
      <c r="D11" s="44">
        <v>0</v>
      </c>
      <c r="E11" s="44">
        <v>2893087.36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N11" s="43">
        <v>1585361</v>
      </c>
      <c r="O11" s="12" t="s">
        <v>406</v>
      </c>
    </row>
    <row r="12" spans="1:15" x14ac:dyDescent="0.25">
      <c r="A12" t="s">
        <v>213</v>
      </c>
      <c r="B12" t="s">
        <v>215</v>
      </c>
      <c r="C12" s="44">
        <v>1311295</v>
      </c>
      <c r="D12" s="44">
        <v>0</v>
      </c>
      <c r="E12" s="44">
        <v>1311295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N12" s="43"/>
      <c r="O12" s="12" t="s">
        <v>407</v>
      </c>
    </row>
    <row r="13" spans="1:15" x14ac:dyDescent="0.25">
      <c r="A13" t="s">
        <v>213</v>
      </c>
      <c r="B13" t="s">
        <v>215</v>
      </c>
      <c r="C13" s="44">
        <v>9289726</v>
      </c>
      <c r="D13" s="44">
        <v>9289726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N13" s="43">
        <v>11675425</v>
      </c>
      <c r="O13" s="12" t="s">
        <v>407</v>
      </c>
    </row>
    <row r="14" spans="1:15" x14ac:dyDescent="0.25">
      <c r="A14" t="s">
        <v>213</v>
      </c>
      <c r="B14" t="s">
        <v>218</v>
      </c>
      <c r="C14" s="44">
        <v>3252785</v>
      </c>
      <c r="D14" s="44">
        <v>3252785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N14" s="43">
        <v>2270250</v>
      </c>
      <c r="O14" s="12"/>
    </row>
    <row r="15" spans="1:15" x14ac:dyDescent="0.25">
      <c r="A15" t="s">
        <v>213</v>
      </c>
      <c r="B15" t="s">
        <v>216</v>
      </c>
      <c r="C15" s="44">
        <v>5070634</v>
      </c>
      <c r="D15" s="44">
        <v>1514350</v>
      </c>
      <c r="E15" s="44">
        <v>3556284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N15" s="43">
        <v>5811240</v>
      </c>
      <c r="O15" s="12" t="s">
        <v>407</v>
      </c>
    </row>
    <row r="16" spans="1:15" x14ac:dyDescent="0.25">
      <c r="A16" t="s">
        <v>213</v>
      </c>
      <c r="B16" t="s">
        <v>217</v>
      </c>
      <c r="C16" s="44">
        <v>96900</v>
      </c>
      <c r="D16" s="44">
        <v>96900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N16" s="43"/>
      <c r="O16" s="12"/>
    </row>
    <row r="17" spans="1:15" x14ac:dyDescent="0.25">
      <c r="A17" t="s">
        <v>213</v>
      </c>
      <c r="B17" t="s">
        <v>219</v>
      </c>
      <c r="C17" s="44">
        <v>234300</v>
      </c>
      <c r="D17" s="44">
        <v>234300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N17" s="43"/>
      <c r="O17" s="12"/>
    </row>
    <row r="18" spans="1:15" x14ac:dyDescent="0.25">
      <c r="A18" t="s">
        <v>213</v>
      </c>
      <c r="B18" t="s">
        <v>219</v>
      </c>
      <c r="C18" s="44">
        <v>2430726</v>
      </c>
      <c r="D18" s="44">
        <v>2430726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N18" s="43">
        <v>2527976</v>
      </c>
      <c r="O18" s="12"/>
    </row>
    <row r="19" spans="1:15" x14ac:dyDescent="0.25">
      <c r="A19" s="46"/>
      <c r="B19" s="46" t="s">
        <v>311</v>
      </c>
      <c r="C19" s="51">
        <f>SUBTOTAL(109,C10:C18)</f>
        <v>27592583.359999999</v>
      </c>
      <c r="D19" s="51">
        <f t="shared" ref="D19:L19" si="0">SUBTOTAL(109,D10:D18)</f>
        <v>17391147</v>
      </c>
      <c r="E19" s="51">
        <f t="shared" si="0"/>
        <v>10201436.359999999</v>
      </c>
      <c r="F19" s="51">
        <f t="shared" si="0"/>
        <v>0</v>
      </c>
      <c r="G19" s="51">
        <f t="shared" si="0"/>
        <v>0</v>
      </c>
      <c r="H19" s="51">
        <f t="shared" si="0"/>
        <v>0</v>
      </c>
      <c r="I19" s="51">
        <f t="shared" si="0"/>
        <v>0</v>
      </c>
      <c r="J19" s="51">
        <f t="shared" si="0"/>
        <v>0</v>
      </c>
      <c r="K19" s="51">
        <f t="shared" si="0"/>
        <v>0</v>
      </c>
      <c r="L19" s="51">
        <f t="shared" si="0"/>
        <v>0</v>
      </c>
    </row>
    <row r="21" spans="1:15" x14ac:dyDescent="0.25">
      <c r="B21" s="46" t="str">
        <f>A23</f>
        <v>Raja Kumar</v>
      </c>
      <c r="C21" s="51" t="s">
        <v>310</v>
      </c>
    </row>
    <row r="22" spans="1:15" ht="30" x14ac:dyDescent="0.25">
      <c r="A22" t="s">
        <v>122</v>
      </c>
      <c r="B22" t="s">
        <v>297</v>
      </c>
      <c r="C22" s="44" t="s">
        <v>0</v>
      </c>
      <c r="D22" s="44" t="s">
        <v>1</v>
      </c>
      <c r="E22" s="44" t="s">
        <v>2</v>
      </c>
      <c r="F22" s="44" t="s">
        <v>3</v>
      </c>
      <c r="G22" s="44" t="s">
        <v>4</v>
      </c>
      <c r="H22" s="44" t="s">
        <v>5</v>
      </c>
      <c r="I22" s="44" t="s">
        <v>6</v>
      </c>
      <c r="J22" s="44" t="s">
        <v>7</v>
      </c>
      <c r="K22" s="44" t="s">
        <v>8</v>
      </c>
      <c r="L22" s="44" t="s">
        <v>9</v>
      </c>
      <c r="N22" s="70" t="s">
        <v>403</v>
      </c>
      <c r="O22" s="70" t="s">
        <v>404</v>
      </c>
    </row>
    <row r="23" spans="1:15" x14ac:dyDescent="0.25">
      <c r="A23" t="s">
        <v>220</v>
      </c>
      <c r="B23" t="s">
        <v>221</v>
      </c>
      <c r="C23" s="44">
        <v>3484675</v>
      </c>
      <c r="D23" s="44">
        <v>3484675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N23" s="43">
        <v>5105419</v>
      </c>
      <c r="O23" s="12"/>
    </row>
    <row r="24" spans="1:15" x14ac:dyDescent="0.25">
      <c r="A24" t="s">
        <v>220</v>
      </c>
      <c r="B24" t="s">
        <v>221</v>
      </c>
      <c r="C24" s="44">
        <v>3159329</v>
      </c>
      <c r="D24" s="44">
        <v>3159329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N24" s="43">
        <v>2055335</v>
      </c>
      <c r="O24" s="12"/>
    </row>
    <row r="25" spans="1:15" x14ac:dyDescent="0.25">
      <c r="A25" t="s">
        <v>220</v>
      </c>
      <c r="B25" t="s">
        <v>222</v>
      </c>
      <c r="C25" s="44">
        <v>832050</v>
      </c>
      <c r="D25" s="44">
        <v>0</v>
      </c>
      <c r="E25" s="44">
        <v>0</v>
      </c>
      <c r="F25" s="44">
        <v>0</v>
      </c>
      <c r="G25" s="44">
        <v>668100</v>
      </c>
      <c r="H25" s="44">
        <v>0</v>
      </c>
      <c r="I25" s="44">
        <v>163950</v>
      </c>
      <c r="J25" s="44">
        <v>0</v>
      </c>
      <c r="K25" s="44">
        <v>0</v>
      </c>
      <c r="L25" s="44">
        <v>0</v>
      </c>
      <c r="N25" s="43">
        <v>2820811</v>
      </c>
      <c r="O25" s="12"/>
    </row>
    <row r="26" spans="1:15" x14ac:dyDescent="0.25">
      <c r="A26" t="s">
        <v>220</v>
      </c>
      <c r="B26" t="s">
        <v>222</v>
      </c>
      <c r="C26" s="44">
        <v>2685011</v>
      </c>
      <c r="D26" s="44">
        <v>0</v>
      </c>
      <c r="E26" s="44">
        <v>683100</v>
      </c>
      <c r="F26" s="44">
        <v>0</v>
      </c>
      <c r="G26" s="44">
        <v>892375</v>
      </c>
      <c r="H26" s="44">
        <v>1109536</v>
      </c>
      <c r="I26" s="44">
        <v>0</v>
      </c>
      <c r="J26" s="44">
        <v>0</v>
      </c>
      <c r="K26" s="44">
        <v>0</v>
      </c>
      <c r="L26" s="44">
        <v>0</v>
      </c>
      <c r="N26" s="43">
        <v>1032050</v>
      </c>
      <c r="O26" s="12" t="s">
        <v>408</v>
      </c>
    </row>
    <row r="27" spans="1:15" x14ac:dyDescent="0.25">
      <c r="A27" s="46"/>
      <c r="B27" s="46" t="s">
        <v>311</v>
      </c>
      <c r="C27" s="51">
        <f>SUBTOTAL(109,C23:C26)</f>
        <v>10161065</v>
      </c>
      <c r="D27" s="51">
        <f t="shared" ref="D27:L27" si="1">SUBTOTAL(109,D23:D26)</f>
        <v>6644004</v>
      </c>
      <c r="E27" s="51">
        <f t="shared" si="1"/>
        <v>683100</v>
      </c>
      <c r="F27" s="51">
        <f t="shared" si="1"/>
        <v>0</v>
      </c>
      <c r="G27" s="51">
        <f t="shared" si="1"/>
        <v>1560475</v>
      </c>
      <c r="H27" s="51">
        <f t="shared" si="1"/>
        <v>1109536</v>
      </c>
      <c r="I27" s="51">
        <f t="shared" si="1"/>
        <v>163950</v>
      </c>
      <c r="J27" s="51">
        <f t="shared" si="1"/>
        <v>0</v>
      </c>
      <c r="K27" s="51">
        <f t="shared" si="1"/>
        <v>0</v>
      </c>
      <c r="L27" s="51">
        <f t="shared" si="1"/>
        <v>0</v>
      </c>
      <c r="N27" s="43"/>
      <c r="O27" s="12"/>
    </row>
    <row r="29" spans="1:15" x14ac:dyDescent="0.25">
      <c r="A29" s="12"/>
      <c r="B29" s="71" t="s">
        <v>121</v>
      </c>
      <c r="C29" s="45">
        <f>+C27+C19+Table2[[#Totals],[Pending Bills]]</f>
        <v>38375723.359999999</v>
      </c>
      <c r="D29" s="45">
        <f>+D27+D19+Table2[[#Totals],[(&lt; 15 days )]]</f>
        <v>24465851</v>
      </c>
      <c r="E29" s="45">
        <f>+E27+E19+Table2[[#Totals],[15 to 30 days]]</f>
        <v>10884536.359999999</v>
      </c>
      <c r="F29" s="45">
        <f>+F27+F19+Table2[[#Totals],[30 to 45 days]]</f>
        <v>0</v>
      </c>
      <c r="G29" s="45">
        <f>+G27+G19+Table2[[#Totals],[45 to 60 days]]</f>
        <v>1751850</v>
      </c>
      <c r="H29" s="45">
        <f>+H27+H19+Table2[[#Totals],[60 to 90 days]]</f>
        <v>1109536</v>
      </c>
      <c r="I29" s="45">
        <f>+I27+I19+Table2[[#Totals],[90 to 180 days]]</f>
        <v>163950</v>
      </c>
      <c r="J29" s="45">
        <f>+J27+J19+Table2[[#Totals],[180 to 365 days]]</f>
        <v>0</v>
      </c>
      <c r="K29" s="45">
        <f>+K27+K19+Table2[[#Totals],[365 to 730 days]]</f>
        <v>0</v>
      </c>
      <c r="L29" s="45">
        <f>+L27+L19+Table2[[#Totals],[(&gt; 730 days )]]</f>
        <v>0</v>
      </c>
      <c r="N29" s="45">
        <f>SUM(N4:N27)</f>
        <v>39427969.359999999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topLeftCell="B26" workbookViewId="0">
      <selection activeCell="B1" sqref="B1:C41"/>
    </sheetView>
  </sheetViews>
  <sheetFormatPr defaultRowHeight="15" x14ac:dyDescent="0.25"/>
  <cols>
    <col min="1" max="1" width="0" hidden="1" customWidth="1"/>
    <col min="2" max="2" width="43.140625" bestFit="1" customWidth="1"/>
    <col min="3" max="3" width="14.5703125" style="44" customWidth="1"/>
    <col min="4" max="4" width="12.85546875" style="44" customWidth="1"/>
    <col min="5" max="8" width="14.28515625" style="44" customWidth="1"/>
    <col min="9" max="9" width="15.28515625" style="44" customWidth="1"/>
    <col min="10" max="11" width="16.28515625" style="44" customWidth="1"/>
    <col min="12" max="12" width="13.85546875" style="44" hidden="1" customWidth="1"/>
    <col min="14" max="14" width="12.28515625" customWidth="1"/>
    <col min="15" max="15" width="43.7109375" customWidth="1"/>
  </cols>
  <sheetData>
    <row r="1" spans="1:15" x14ac:dyDescent="0.25">
      <c r="B1" t="str">
        <f>+A3</f>
        <v>Ashok</v>
      </c>
      <c r="C1" s="51" t="s">
        <v>310</v>
      </c>
    </row>
    <row r="2" spans="1:15" ht="30" x14ac:dyDescent="0.25">
      <c r="A2" t="s">
        <v>122</v>
      </c>
      <c r="B2" t="s">
        <v>297</v>
      </c>
      <c r="C2" s="44" t="s">
        <v>0</v>
      </c>
      <c r="D2" s="44" t="s">
        <v>1</v>
      </c>
      <c r="E2" s="44" t="s">
        <v>2</v>
      </c>
      <c r="F2" s="44" t="s">
        <v>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  <c r="N2" s="70" t="s">
        <v>403</v>
      </c>
      <c r="O2" s="70" t="s">
        <v>405</v>
      </c>
    </row>
    <row r="3" spans="1:15" x14ac:dyDescent="0.25">
      <c r="A3" t="s">
        <v>240</v>
      </c>
      <c r="B3" t="s">
        <v>227</v>
      </c>
      <c r="C3" s="44">
        <f>5607262.15-135000</f>
        <v>5472262.1500000004</v>
      </c>
      <c r="D3" s="44">
        <v>4005000</v>
      </c>
      <c r="E3" s="44">
        <v>1235900</v>
      </c>
      <c r="F3" s="44">
        <f>366362.15-135000</f>
        <v>231362.15000000002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  <c r="N3" s="43">
        <v>4966362.1500000004</v>
      </c>
      <c r="O3" s="12"/>
    </row>
    <row r="4" spans="1:15" x14ac:dyDescent="0.25">
      <c r="A4" t="s">
        <v>240</v>
      </c>
      <c r="B4" t="s">
        <v>232</v>
      </c>
      <c r="C4" s="44">
        <v>5742269.7800000003</v>
      </c>
      <c r="D4" s="44">
        <v>5742269.7800000003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  <c r="N4" s="43">
        <v>5490716.6299999999</v>
      </c>
      <c r="O4" s="12"/>
    </row>
    <row r="5" spans="1:15" x14ac:dyDescent="0.25">
      <c r="A5" t="s">
        <v>240</v>
      </c>
      <c r="B5" t="s">
        <v>233</v>
      </c>
      <c r="C5" s="44">
        <v>812230.48</v>
      </c>
      <c r="D5" s="44">
        <v>812230.48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N5" s="43">
        <v>1621083.28</v>
      </c>
      <c r="O5" s="12"/>
    </row>
    <row r="6" spans="1:15" x14ac:dyDescent="0.25">
      <c r="B6" s="39" t="s">
        <v>311</v>
      </c>
      <c r="C6" s="44">
        <f>SUBTOTAL(109,Table5[Pending Bills])</f>
        <v>12026762.41</v>
      </c>
      <c r="D6" s="44">
        <f>SUBTOTAL(109,Table5[(&lt; 15 days )])</f>
        <v>10559500.260000002</v>
      </c>
      <c r="E6" s="44">
        <f>SUBTOTAL(109,Table5[15 to 30 days])</f>
        <v>1235900</v>
      </c>
      <c r="F6" s="44">
        <f>SUBTOTAL(109,Table5[30 to 45 days])</f>
        <v>231362.15000000002</v>
      </c>
      <c r="G6" s="44">
        <f>SUBTOTAL(109,Table5[45 to 60 days])</f>
        <v>0</v>
      </c>
      <c r="H6" s="44">
        <f>SUBTOTAL(109,Table5[60 to 90 days])</f>
        <v>0</v>
      </c>
      <c r="I6" s="44">
        <f>SUBTOTAL(109,Table5[90 to 180 days])</f>
        <v>0</v>
      </c>
      <c r="J6" s="44">
        <f>SUBTOTAL(109,Table5[180 to 365 days])</f>
        <v>0</v>
      </c>
      <c r="K6" s="44">
        <f>SUBTOTAL(109,Table5[365 to 730 days])</f>
        <v>0</v>
      </c>
      <c r="L6" s="44">
        <f>SUBTOTAL(109,Table5[(&gt; 730 days )])</f>
        <v>0</v>
      </c>
    </row>
    <row r="7" spans="1:15" x14ac:dyDescent="0.25">
      <c r="B7" s="39"/>
    </row>
    <row r="8" spans="1:15" x14ac:dyDescent="0.25">
      <c r="B8" t="str">
        <f>+A10</f>
        <v>Bandaru Balaji</v>
      </c>
      <c r="C8" s="51" t="s">
        <v>310</v>
      </c>
    </row>
    <row r="9" spans="1:15" ht="30" x14ac:dyDescent="0.25">
      <c r="A9" t="s">
        <v>122</v>
      </c>
      <c r="B9" t="s">
        <v>297</v>
      </c>
      <c r="C9" s="44" t="s">
        <v>0</v>
      </c>
      <c r="D9" s="44" t="s">
        <v>1</v>
      </c>
      <c r="E9" s="44" t="s">
        <v>2</v>
      </c>
      <c r="F9" s="44" t="s">
        <v>3</v>
      </c>
      <c r="G9" s="44" t="s">
        <v>4</v>
      </c>
      <c r="H9" s="44" t="s">
        <v>5</v>
      </c>
      <c r="I9" s="44" t="s">
        <v>6</v>
      </c>
      <c r="J9" s="44" t="s">
        <v>7</v>
      </c>
      <c r="K9" s="44" t="s">
        <v>8</v>
      </c>
      <c r="L9" s="44" t="s">
        <v>9</v>
      </c>
      <c r="N9" s="70" t="s">
        <v>403</v>
      </c>
      <c r="O9" s="70" t="s">
        <v>405</v>
      </c>
    </row>
    <row r="10" spans="1:15" x14ac:dyDescent="0.25">
      <c r="A10" t="s">
        <v>241</v>
      </c>
      <c r="B10" t="s">
        <v>257</v>
      </c>
      <c r="C10" s="44">
        <v>319.64999999999998</v>
      </c>
      <c r="D10" s="44">
        <v>319.64999999999998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N10" s="43"/>
      <c r="O10" s="12"/>
    </row>
    <row r="11" spans="1:15" x14ac:dyDescent="0.25">
      <c r="A11" t="s">
        <v>241</v>
      </c>
      <c r="B11" t="s">
        <v>236</v>
      </c>
      <c r="C11" s="44">
        <v>496246.81</v>
      </c>
      <c r="D11" s="44">
        <v>496246.81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N11" s="43"/>
      <c r="O11" s="12"/>
    </row>
    <row r="12" spans="1:15" x14ac:dyDescent="0.25">
      <c r="A12" t="s">
        <v>241</v>
      </c>
      <c r="B12" t="s">
        <v>236</v>
      </c>
      <c r="C12" s="44">
        <v>417103</v>
      </c>
      <c r="D12" s="44">
        <v>417103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N12" s="43">
        <v>52787.16</v>
      </c>
      <c r="O12" s="12"/>
    </row>
    <row r="13" spans="1:15" x14ac:dyDescent="0.25">
      <c r="B13" s="39" t="s">
        <v>311</v>
      </c>
      <c r="C13" s="44">
        <f>SUBTOTAL(109,Table6[Pending Bills])</f>
        <v>913669.46</v>
      </c>
      <c r="D13" s="44">
        <f>SUBTOTAL(109,Table6[(&lt; 15 days )])</f>
        <v>913669.46</v>
      </c>
      <c r="E13" s="44">
        <f>SUBTOTAL(109,Table6[15 to 30 days])</f>
        <v>0</v>
      </c>
      <c r="F13" s="44">
        <f>SUBTOTAL(109,Table6[30 to 45 days])</f>
        <v>0</v>
      </c>
      <c r="G13" s="44">
        <f>SUBTOTAL(109,Table6[45 to 60 days])</f>
        <v>0</v>
      </c>
      <c r="H13" s="44">
        <f>SUBTOTAL(109,Table6[60 to 90 days])</f>
        <v>0</v>
      </c>
      <c r="I13" s="44">
        <f>SUBTOTAL(109,Table6[90 to 180 days])</f>
        <v>0</v>
      </c>
      <c r="J13" s="44">
        <f>SUBTOTAL(109,Table6[180 to 365 days])</f>
        <v>0</v>
      </c>
      <c r="K13" s="44">
        <f>SUBTOTAL(109,Table6[365 to 730 days])</f>
        <v>0</v>
      </c>
      <c r="L13" s="44">
        <f>SUBTOTAL(109,Table6[(&gt; 730 days )])</f>
        <v>0</v>
      </c>
    </row>
    <row r="15" spans="1:15" x14ac:dyDescent="0.25">
      <c r="B15" t="str">
        <f>+A17</f>
        <v>Karre Narasimha</v>
      </c>
      <c r="C15" s="51" t="s">
        <v>310</v>
      </c>
    </row>
    <row r="16" spans="1:15" ht="30" x14ac:dyDescent="0.25">
      <c r="A16" t="s">
        <v>122</v>
      </c>
      <c r="B16" t="s">
        <v>297</v>
      </c>
      <c r="C16" s="44" t="s">
        <v>0</v>
      </c>
      <c r="D16" s="44" t="s">
        <v>1</v>
      </c>
      <c r="E16" s="44" t="s">
        <v>2</v>
      </c>
      <c r="F16" s="44" t="s">
        <v>3</v>
      </c>
      <c r="G16" s="44" t="s">
        <v>4</v>
      </c>
      <c r="H16" s="44" t="s">
        <v>5</v>
      </c>
      <c r="I16" s="44" t="s">
        <v>6</v>
      </c>
      <c r="J16" s="44" t="s">
        <v>7</v>
      </c>
      <c r="K16" s="44" t="s">
        <v>8</v>
      </c>
      <c r="L16" s="44" t="s">
        <v>9</v>
      </c>
      <c r="N16" s="70" t="s">
        <v>403</v>
      </c>
      <c r="O16" s="70" t="s">
        <v>405</v>
      </c>
    </row>
    <row r="17" spans="1:15" x14ac:dyDescent="0.25">
      <c r="A17" t="s">
        <v>242</v>
      </c>
      <c r="B17" t="s">
        <v>247</v>
      </c>
      <c r="C17" s="44">
        <v>72657.64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72657.64</v>
      </c>
      <c r="L17" s="44">
        <v>0</v>
      </c>
      <c r="N17" s="43">
        <v>72657.64</v>
      </c>
      <c r="O17" s="12" t="s">
        <v>409</v>
      </c>
    </row>
    <row r="18" spans="1:15" x14ac:dyDescent="0.25">
      <c r="A18" t="s">
        <v>242</v>
      </c>
      <c r="B18" t="s">
        <v>226</v>
      </c>
      <c r="C18" s="44">
        <v>340</v>
      </c>
      <c r="D18" s="44">
        <v>340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N18" s="43"/>
      <c r="O18" s="12"/>
    </row>
    <row r="19" spans="1:15" x14ac:dyDescent="0.25">
      <c r="A19" t="s">
        <v>242</v>
      </c>
      <c r="B19" t="s">
        <v>228</v>
      </c>
      <c r="C19" s="44">
        <v>700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700</v>
      </c>
      <c r="J19" s="44">
        <v>0</v>
      </c>
      <c r="K19" s="44">
        <v>0</v>
      </c>
      <c r="L19" s="44">
        <v>0</v>
      </c>
      <c r="N19" s="43">
        <v>13000</v>
      </c>
      <c r="O19" s="12"/>
    </row>
    <row r="20" spans="1:15" x14ac:dyDescent="0.25">
      <c r="A20" t="s">
        <v>242</v>
      </c>
      <c r="B20" t="s">
        <v>230</v>
      </c>
      <c r="C20" s="44">
        <v>5200</v>
      </c>
      <c r="D20" s="44">
        <v>0</v>
      </c>
      <c r="E20" s="44">
        <v>5200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N20" s="43"/>
      <c r="O20" s="12"/>
    </row>
    <row r="21" spans="1:15" x14ac:dyDescent="0.25">
      <c r="B21" s="39" t="s">
        <v>311</v>
      </c>
      <c r="C21" s="44">
        <f>SUBTOTAL(109,Table7[Pending Bills])</f>
        <v>78897.64</v>
      </c>
      <c r="D21" s="44">
        <f>SUBTOTAL(109,Table7[(&lt; 15 days )])</f>
        <v>340</v>
      </c>
      <c r="E21" s="44">
        <f>SUBTOTAL(109,Table7[15 to 30 days])</f>
        <v>5200</v>
      </c>
      <c r="F21" s="44">
        <f>SUBTOTAL(109,Table7[30 to 45 days])</f>
        <v>0</v>
      </c>
      <c r="G21" s="44">
        <f>SUBTOTAL(109,Table7[45 to 60 days])</f>
        <v>0</v>
      </c>
      <c r="H21" s="44">
        <f>SUBTOTAL(109,Table7[60 to 90 days])</f>
        <v>0</v>
      </c>
      <c r="I21" s="44">
        <f>SUBTOTAL(109,Table7[90 to 180 days])</f>
        <v>700</v>
      </c>
      <c r="J21" s="44">
        <f>SUBTOTAL(109,Table7[180 to 365 days])</f>
        <v>0</v>
      </c>
      <c r="K21" s="44">
        <f>SUBTOTAL(109,Table7[365 to 730 days])</f>
        <v>72657.64</v>
      </c>
      <c r="L21" s="44">
        <f>SUBTOTAL(109,Table7[(&gt; 730 days )])</f>
        <v>0</v>
      </c>
    </row>
    <row r="23" spans="1:15" x14ac:dyDescent="0.25">
      <c r="B23" t="str">
        <f>A25</f>
        <v>N. Srinivas</v>
      </c>
      <c r="C23" s="51" t="s">
        <v>310</v>
      </c>
    </row>
    <row r="24" spans="1:15" ht="30" x14ac:dyDescent="0.25">
      <c r="A24" t="s">
        <v>122</v>
      </c>
      <c r="B24" t="s">
        <v>297</v>
      </c>
      <c r="C24" s="44" t="s">
        <v>0</v>
      </c>
      <c r="D24" s="44" t="s">
        <v>1</v>
      </c>
      <c r="E24" s="44" t="s">
        <v>2</v>
      </c>
      <c r="F24" s="44" t="s">
        <v>3</v>
      </c>
      <c r="G24" s="44" t="s">
        <v>4</v>
      </c>
      <c r="H24" s="44" t="s">
        <v>5</v>
      </c>
      <c r="I24" s="44" t="s">
        <v>6</v>
      </c>
      <c r="J24" s="44" t="s">
        <v>7</v>
      </c>
      <c r="K24" s="44" t="s">
        <v>8</v>
      </c>
      <c r="L24" s="44" t="s">
        <v>9</v>
      </c>
      <c r="N24" s="70" t="s">
        <v>403</v>
      </c>
      <c r="O24" s="70" t="s">
        <v>405</v>
      </c>
    </row>
    <row r="25" spans="1:15" x14ac:dyDescent="0.25">
      <c r="A25" t="s">
        <v>244</v>
      </c>
      <c r="B25" t="s">
        <v>229</v>
      </c>
      <c r="C25" s="44">
        <v>60000</v>
      </c>
      <c r="D25" s="44">
        <v>0</v>
      </c>
      <c r="E25" s="44">
        <v>60000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N25" s="43"/>
      <c r="O25" s="12"/>
    </row>
    <row r="26" spans="1:15" x14ac:dyDescent="0.25">
      <c r="A26" t="s">
        <v>244</v>
      </c>
      <c r="B26" t="s">
        <v>248</v>
      </c>
      <c r="C26" s="44">
        <v>198547.20000000001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198547.20000000001</v>
      </c>
      <c r="K26" s="44">
        <v>0</v>
      </c>
      <c r="L26" s="44">
        <v>0</v>
      </c>
      <c r="N26" s="43">
        <v>198547.20000000001</v>
      </c>
      <c r="O26" s="12"/>
    </row>
    <row r="27" spans="1:15" x14ac:dyDescent="0.25">
      <c r="A27" t="s">
        <v>244</v>
      </c>
      <c r="B27" t="s">
        <v>237</v>
      </c>
      <c r="C27" s="44">
        <v>709.98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709.98</v>
      </c>
      <c r="J27" s="44">
        <v>0</v>
      </c>
      <c r="K27" s="44">
        <v>0</v>
      </c>
      <c r="L27" s="44">
        <v>0</v>
      </c>
      <c r="N27" s="43">
        <v>709.98</v>
      </c>
      <c r="O27" s="12"/>
    </row>
    <row r="28" spans="1:15" x14ac:dyDescent="0.25">
      <c r="A28" t="s">
        <v>244</v>
      </c>
      <c r="B28" t="s">
        <v>239</v>
      </c>
      <c r="C28" s="44">
        <v>24976.91</v>
      </c>
      <c r="D28" s="44">
        <v>24976.91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N28" s="43">
        <v>38273.71</v>
      </c>
      <c r="O28" s="12"/>
    </row>
    <row r="29" spans="1:15" x14ac:dyDescent="0.25">
      <c r="C29" s="44">
        <f>SUBTOTAL(109,Table8[Pending Bills])</f>
        <v>284234.09000000003</v>
      </c>
      <c r="D29" s="44">
        <f>SUBTOTAL(109,Table8[(&lt; 15 days )])</f>
        <v>24976.91</v>
      </c>
      <c r="E29" s="44">
        <f>SUBTOTAL(109,Table8[15 to 30 days])</f>
        <v>60000</v>
      </c>
      <c r="F29" s="44">
        <f>SUBTOTAL(109,Table8[30 to 45 days])</f>
        <v>0</v>
      </c>
      <c r="G29" s="44">
        <f>SUBTOTAL(109,Table8[45 to 60 days])</f>
        <v>0</v>
      </c>
      <c r="H29" s="44">
        <f>SUBTOTAL(109,Table8[60 to 90 days])</f>
        <v>0</v>
      </c>
      <c r="I29" s="44">
        <f>SUBTOTAL(109,Table8[90 to 180 days])</f>
        <v>709.98</v>
      </c>
      <c r="J29" s="44">
        <f>SUBTOTAL(109,Table8[180 to 365 days])</f>
        <v>198547.20000000001</v>
      </c>
      <c r="K29" s="44">
        <f>SUBTOTAL(109,Table8[365 to 730 days])</f>
        <v>0</v>
      </c>
      <c r="L29" s="44">
        <f>SUBTOTAL(109,Table8[(&gt; 730 days )])</f>
        <v>0</v>
      </c>
    </row>
    <row r="31" spans="1:15" x14ac:dyDescent="0.25">
      <c r="B31" t="str">
        <f>+A33</f>
        <v>Seetharam</v>
      </c>
      <c r="C31" s="51" t="s">
        <v>310</v>
      </c>
    </row>
    <row r="32" spans="1:15" ht="30" x14ac:dyDescent="0.25">
      <c r="A32" t="s">
        <v>122</v>
      </c>
      <c r="B32" t="s">
        <v>297</v>
      </c>
      <c r="C32" s="44" t="s">
        <v>0</v>
      </c>
      <c r="D32" s="44" t="s">
        <v>1</v>
      </c>
      <c r="E32" s="44" t="s">
        <v>2</v>
      </c>
      <c r="F32" s="44" t="s">
        <v>3</v>
      </c>
      <c r="G32" s="44" t="s">
        <v>4</v>
      </c>
      <c r="H32" s="44" t="s">
        <v>5</v>
      </c>
      <c r="I32" s="44" t="s">
        <v>6</v>
      </c>
      <c r="J32" s="44" t="s">
        <v>7</v>
      </c>
      <c r="K32" s="44" t="s">
        <v>8</v>
      </c>
      <c r="L32" s="44" t="s">
        <v>9</v>
      </c>
      <c r="N32" s="70" t="s">
        <v>403</v>
      </c>
      <c r="O32" s="70" t="s">
        <v>405</v>
      </c>
    </row>
    <row r="33" spans="1:15" x14ac:dyDescent="0.25">
      <c r="A33" t="s">
        <v>245</v>
      </c>
      <c r="B33" t="s">
        <v>252</v>
      </c>
      <c r="C33" s="44">
        <v>2991683</v>
      </c>
      <c r="D33" s="44">
        <v>2991683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N33" s="43">
        <v>2602193</v>
      </c>
      <c r="O33" s="12"/>
    </row>
    <row r="34" spans="1:15" x14ac:dyDescent="0.25">
      <c r="A34" t="s">
        <v>245</v>
      </c>
      <c r="B34" t="s">
        <v>272</v>
      </c>
      <c r="C34" s="44">
        <v>1881315</v>
      </c>
      <c r="D34" s="44">
        <v>436000</v>
      </c>
      <c r="E34" s="44">
        <v>0</v>
      </c>
      <c r="F34" s="44">
        <v>0</v>
      </c>
      <c r="G34" s="44">
        <v>764500</v>
      </c>
      <c r="H34" s="44">
        <v>480150</v>
      </c>
      <c r="I34" s="44">
        <v>0</v>
      </c>
      <c r="J34" s="44">
        <v>200665</v>
      </c>
      <c r="K34" s="44">
        <v>0</v>
      </c>
      <c r="L34" s="44">
        <v>0</v>
      </c>
      <c r="N34" s="43">
        <v>1895315</v>
      </c>
      <c r="O34" s="12"/>
    </row>
    <row r="35" spans="1:15" x14ac:dyDescent="0.25">
      <c r="A35" t="s">
        <v>245</v>
      </c>
      <c r="B35" t="s">
        <v>275</v>
      </c>
      <c r="C35" s="44">
        <v>1842785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1842785</v>
      </c>
      <c r="K35" s="44">
        <v>0</v>
      </c>
      <c r="L35" s="44">
        <v>0</v>
      </c>
      <c r="N35" s="43">
        <v>1842785</v>
      </c>
      <c r="O35" s="12" t="s">
        <v>410</v>
      </c>
    </row>
    <row r="36" spans="1:15" x14ac:dyDescent="0.25">
      <c r="A36" t="s">
        <v>245</v>
      </c>
      <c r="B36" t="s">
        <v>234</v>
      </c>
      <c r="C36" s="44">
        <v>1403517.55</v>
      </c>
      <c r="D36" s="44">
        <v>537279.4</v>
      </c>
      <c r="E36" s="44">
        <v>866238.15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N36" s="43"/>
      <c r="O36" s="12"/>
    </row>
    <row r="37" spans="1:15" x14ac:dyDescent="0.25">
      <c r="A37" t="s">
        <v>245</v>
      </c>
      <c r="B37" t="s">
        <v>234</v>
      </c>
      <c r="C37" s="44">
        <v>1582237.2</v>
      </c>
      <c r="D37" s="44">
        <v>1582237.2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N37" s="43">
        <v>2738610.07</v>
      </c>
      <c r="O37" s="12"/>
    </row>
    <row r="38" spans="1:15" x14ac:dyDescent="0.25">
      <c r="A38" t="s">
        <v>245</v>
      </c>
      <c r="B38" t="s">
        <v>286</v>
      </c>
      <c r="C38" s="44">
        <v>1468223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v>1468223</v>
      </c>
      <c r="L38" s="44">
        <v>0</v>
      </c>
      <c r="N38" s="43">
        <v>1468223</v>
      </c>
      <c r="O38" s="12"/>
    </row>
    <row r="39" spans="1:15" x14ac:dyDescent="0.25">
      <c r="C39" s="44">
        <f>SUBTOTAL(109,Table9[Pending Bills])</f>
        <v>11169760.75</v>
      </c>
      <c r="D39" s="44">
        <f>SUBTOTAL(109,Table9[(&lt; 15 days )])</f>
        <v>5547199.5999999996</v>
      </c>
      <c r="E39" s="44">
        <f>SUBTOTAL(109,Table9[15 to 30 days])</f>
        <v>866238.15</v>
      </c>
      <c r="F39" s="44">
        <f>SUBTOTAL(109,Table9[30 to 45 days])</f>
        <v>0</v>
      </c>
      <c r="G39" s="44">
        <f>SUBTOTAL(109,Table9[45 to 60 days])</f>
        <v>764500</v>
      </c>
      <c r="H39" s="44">
        <f>SUBTOTAL(109,Table9[60 to 90 days])</f>
        <v>480150</v>
      </c>
      <c r="I39" s="44">
        <f>SUBTOTAL(109,Table9[90 to 180 days])</f>
        <v>0</v>
      </c>
      <c r="J39" s="44">
        <f>SUBTOTAL(109,Table9[180 to 365 days])</f>
        <v>2043450</v>
      </c>
      <c r="K39" s="44">
        <f>SUBTOTAL(109,Table9[365 to 730 days])</f>
        <v>1468223</v>
      </c>
      <c r="L39" s="44">
        <f>SUBTOTAL(109,Table9[(&gt; 730 days )])</f>
        <v>0</v>
      </c>
    </row>
    <row r="41" spans="1:15" x14ac:dyDescent="0.25">
      <c r="A41" s="12"/>
      <c r="B41" s="53" t="s">
        <v>121</v>
      </c>
      <c r="C41" s="45">
        <f>+Table9[[#Totals],[Pending Bills]]+Table8[[#Totals],[Pending Bills]]+Table7[[#Totals],[Pending Bills]]+Table6[[#Totals],[Pending Bills]]+Table5[[#Totals],[Pending Bills]]</f>
        <v>24473324.350000001</v>
      </c>
      <c r="D41" s="45">
        <f>+Table9[[#Totals],[(&lt; 15 days )]]+Table8[[#Totals],[(&lt; 15 days )]]+Table7[[#Totals],[(&lt; 15 days )]]+Table6[[#Totals],[(&lt; 15 days )]]+Table5[[#Totals],[(&lt; 15 days )]]</f>
        <v>17045686.23</v>
      </c>
      <c r="E41" s="45">
        <f>+Table9[[#Totals],[15 to 30 days]]+Table8[[#Totals],[15 to 30 days]]+Table7[[#Totals],[15 to 30 days]]+Table6[[#Totals],[15 to 30 days]]+Table5[[#Totals],[15 to 30 days]]</f>
        <v>2167338.15</v>
      </c>
      <c r="F41" s="45">
        <f>+Table9[[#Totals],[30 to 45 days]]+Table8[[#Totals],[30 to 45 days]]+Table7[[#Totals],[30 to 45 days]]+Table6[[#Totals],[30 to 45 days]]+Table5[[#Totals],[30 to 45 days]]</f>
        <v>231362.15000000002</v>
      </c>
      <c r="G41" s="45">
        <f>+Table9[[#Totals],[45 to 60 days]]+Table8[[#Totals],[45 to 60 days]]+Table7[[#Totals],[45 to 60 days]]+Table6[[#Totals],[45 to 60 days]]+Table5[[#Totals],[45 to 60 days]]</f>
        <v>764500</v>
      </c>
      <c r="H41" s="45">
        <f>+Table9[[#Totals],[60 to 90 days]]+Table8[[#Totals],[60 to 90 days]]+Table7[[#Totals],[60 to 90 days]]+Table6[[#Totals],[60 to 90 days]]+Table5[[#Totals],[60 to 90 days]]</f>
        <v>480150</v>
      </c>
      <c r="I41" s="45">
        <f>+Table9[[#Totals],[90 to 180 days]]+Table8[[#Totals],[90 to 180 days]]+Table7[[#Totals],[90 to 180 days]]+Table6[[#Totals],[90 to 180 days]]+Table5[[#Totals],[90 to 180 days]]</f>
        <v>1409.98</v>
      </c>
      <c r="J41" s="45">
        <f>+Table9[[#Totals],[180 to 365 days]]+Table8[[#Totals],[180 to 365 days]]+Table7[[#Totals],[180 to 365 days]]+Table6[[#Totals],[180 to 365 days]]+Table5[[#Totals],[180 to 365 days]]</f>
        <v>2241997.2000000002</v>
      </c>
      <c r="K41" s="45">
        <f>+Table9[[#Totals],[365 to 730 days]]+Table8[[#Totals],[365 to 730 days]]+Table7[[#Totals],[365 to 730 days]]+Table6[[#Totals],[365 to 730 days]]+Table5[[#Totals],[365 to 730 days]]</f>
        <v>1540880.64</v>
      </c>
      <c r="L41" s="45">
        <f>+Table9[[#Totals],[(&gt; 730 days )]]+Table8[[#Totals],[(&gt; 730 days )]]+Table7[[#Totals],[(&gt; 730 days )]]+Table6[[#Totals],[(&gt; 730 days )]]+Table5[[#Totals],[(&gt; 730 days )]]</f>
        <v>0</v>
      </c>
      <c r="N41" s="45">
        <f>SUM(N3:N40)</f>
        <v>23001263.82</v>
      </c>
      <c r="O41" s="12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B1" workbookViewId="0">
      <selection activeCell="B1" sqref="B1:C11"/>
    </sheetView>
  </sheetViews>
  <sheetFormatPr defaultRowHeight="15" x14ac:dyDescent="0.25"/>
  <cols>
    <col min="1" max="1" width="0" hidden="1" customWidth="1"/>
    <col min="2" max="2" width="32" customWidth="1"/>
    <col min="3" max="3" width="14.710937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t="str">
        <f>+A3</f>
        <v>G Chandra Sekhar</v>
      </c>
      <c r="C1" s="51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197</v>
      </c>
      <c r="B3" t="s">
        <v>202</v>
      </c>
      <c r="C3" s="41">
        <v>4000</v>
      </c>
      <c r="D3" s="41">
        <v>4000</v>
      </c>
      <c r="E3" s="41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1">
        <v>0</v>
      </c>
    </row>
    <row r="4" spans="1:12" x14ac:dyDescent="0.25">
      <c r="A4" t="s">
        <v>197</v>
      </c>
      <c r="B4" t="s">
        <v>203</v>
      </c>
      <c r="C4" s="41">
        <v>28200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28200</v>
      </c>
      <c r="J4" s="41">
        <v>0</v>
      </c>
      <c r="K4" s="41">
        <v>0</v>
      </c>
      <c r="L4" s="41">
        <v>0</v>
      </c>
    </row>
    <row r="5" spans="1:12" x14ac:dyDescent="0.25">
      <c r="A5" t="s">
        <v>197</v>
      </c>
      <c r="B5" t="s">
        <v>231</v>
      </c>
      <c r="C5" s="41">
        <v>65500</v>
      </c>
      <c r="D5" s="41">
        <v>0</v>
      </c>
      <c r="E5" s="41">
        <v>65500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</row>
    <row r="6" spans="1:12" x14ac:dyDescent="0.25">
      <c r="A6" t="s">
        <v>197</v>
      </c>
      <c r="B6" t="s">
        <v>235</v>
      </c>
      <c r="C6" s="41">
        <v>500</v>
      </c>
      <c r="D6" s="41">
        <v>0</v>
      </c>
      <c r="E6" s="41">
        <v>500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0</v>
      </c>
    </row>
    <row r="7" spans="1:12" x14ac:dyDescent="0.25">
      <c r="A7" t="s">
        <v>197</v>
      </c>
      <c r="B7" t="s">
        <v>281</v>
      </c>
      <c r="C7" s="41">
        <v>10000</v>
      </c>
      <c r="D7" s="41">
        <v>10000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0</v>
      </c>
    </row>
    <row r="8" spans="1:12" x14ac:dyDescent="0.25">
      <c r="A8" t="s">
        <v>197</v>
      </c>
      <c r="B8" t="s">
        <v>238</v>
      </c>
      <c r="C8" s="41">
        <v>100309</v>
      </c>
      <c r="D8" s="41">
        <v>100309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0</v>
      </c>
      <c r="L8" s="41">
        <v>0</v>
      </c>
    </row>
    <row r="9" spans="1:12" x14ac:dyDescent="0.25">
      <c r="A9" t="s">
        <v>197</v>
      </c>
      <c r="B9" t="s">
        <v>285</v>
      </c>
      <c r="C9" s="41">
        <v>15925</v>
      </c>
      <c r="D9" s="41">
        <v>0</v>
      </c>
      <c r="E9" s="41">
        <v>15925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0</v>
      </c>
      <c r="L9" s="41">
        <v>0</v>
      </c>
    </row>
    <row r="10" spans="1:12" x14ac:dyDescent="0.25">
      <c r="A10" t="s">
        <v>197</v>
      </c>
      <c r="B10" t="s">
        <v>195</v>
      </c>
      <c r="C10" s="41">
        <v>30607</v>
      </c>
      <c r="D10" s="41">
        <v>30607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0</v>
      </c>
      <c r="L10" s="41">
        <v>0</v>
      </c>
    </row>
    <row r="11" spans="1:12" x14ac:dyDescent="0.25">
      <c r="B11" s="53" t="s">
        <v>121</v>
      </c>
      <c r="C11" s="40">
        <f>SUBTOTAL(109,Table10[Pending Bills])</f>
        <v>255041</v>
      </c>
      <c r="D11" s="40">
        <f>SUBTOTAL(109,Table10[(&lt; 15 days )])</f>
        <v>144916</v>
      </c>
      <c r="E11" s="40">
        <f>SUBTOTAL(109,Table10[15 to 30 days])</f>
        <v>81925</v>
      </c>
      <c r="F11" s="40">
        <f>SUBTOTAL(109,Table10[30 to 45 days])</f>
        <v>0</v>
      </c>
      <c r="G11" s="40">
        <f>SUBTOTAL(109,Table10[45 to 60 days])</f>
        <v>0</v>
      </c>
      <c r="H11" s="40">
        <f>SUBTOTAL(109,Table10[60 to 90 days])</f>
        <v>0</v>
      </c>
      <c r="I11" s="40">
        <f>SUBTOTAL(109,Table10[90 to 180 days])</f>
        <v>28200</v>
      </c>
      <c r="J11" s="40">
        <f>SUBTOTAL(109,Table10[180 to 365 days])</f>
        <v>0</v>
      </c>
      <c r="K11" s="40">
        <f>SUBTOTAL(109,Table10[365 to 730 days])</f>
        <v>0</v>
      </c>
      <c r="L11" s="40">
        <f>SUBTOTAL(109,Table10[(&gt; 730 days )])</f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B1" workbookViewId="0">
      <selection activeCell="B1" sqref="B1:C20"/>
    </sheetView>
  </sheetViews>
  <sheetFormatPr defaultRowHeight="15" x14ac:dyDescent="0.25"/>
  <cols>
    <col min="1" max="1" width="0" hidden="1" customWidth="1"/>
    <col min="2" max="2" width="34.28515625" bestFit="1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s="46" t="str">
        <f>+A3</f>
        <v>Gouse</v>
      </c>
      <c r="C1" s="54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290</v>
      </c>
      <c r="B3" t="s">
        <v>251</v>
      </c>
      <c r="C3" s="56">
        <v>82308.509999999995</v>
      </c>
      <c r="D3" s="56">
        <v>0</v>
      </c>
      <c r="E3" s="56">
        <v>0</v>
      </c>
      <c r="F3" s="56">
        <v>0</v>
      </c>
      <c r="G3" s="56">
        <v>0</v>
      </c>
      <c r="H3" s="56">
        <v>0</v>
      </c>
      <c r="I3" s="56">
        <v>0</v>
      </c>
      <c r="J3" s="56">
        <v>0</v>
      </c>
      <c r="K3" s="56">
        <v>82308.509999999995</v>
      </c>
      <c r="L3" s="56">
        <v>0</v>
      </c>
    </row>
    <row r="4" spans="1:12" x14ac:dyDescent="0.25">
      <c r="A4" t="s">
        <v>290</v>
      </c>
      <c r="B4" t="s">
        <v>256</v>
      </c>
      <c r="C4" s="56">
        <v>347424.28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347424.28</v>
      </c>
    </row>
    <row r="5" spans="1:12" x14ac:dyDescent="0.25">
      <c r="A5" t="s">
        <v>290</v>
      </c>
      <c r="B5" t="s">
        <v>262</v>
      </c>
      <c r="C5" s="56">
        <v>202127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202127</v>
      </c>
    </row>
    <row r="6" spans="1:12" x14ac:dyDescent="0.25">
      <c r="A6" t="s">
        <v>290</v>
      </c>
      <c r="B6" t="s">
        <v>264</v>
      </c>
      <c r="C6" s="56">
        <v>35337.160000000003</v>
      </c>
      <c r="D6" s="56">
        <v>35337.160000000003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</row>
    <row r="7" spans="1:12" x14ac:dyDescent="0.25">
      <c r="A7" t="s">
        <v>290</v>
      </c>
      <c r="B7" t="s">
        <v>265</v>
      </c>
      <c r="C7" s="56">
        <v>1277286.74</v>
      </c>
      <c r="D7" s="56">
        <v>863277.11</v>
      </c>
      <c r="E7" s="56">
        <v>0</v>
      </c>
      <c r="F7" s="56">
        <v>0</v>
      </c>
      <c r="G7" s="56">
        <v>0</v>
      </c>
      <c r="H7" s="56">
        <v>363087.7</v>
      </c>
      <c r="I7" s="56">
        <v>0</v>
      </c>
      <c r="J7" s="56">
        <v>50921.93</v>
      </c>
      <c r="K7" s="56">
        <v>0</v>
      </c>
      <c r="L7" s="56">
        <v>0</v>
      </c>
    </row>
    <row r="8" spans="1:12" x14ac:dyDescent="0.25">
      <c r="A8" t="s">
        <v>290</v>
      </c>
      <c r="B8" t="s">
        <v>267</v>
      </c>
      <c r="C8" s="56">
        <v>480720.83</v>
      </c>
      <c r="D8" s="56">
        <v>0</v>
      </c>
      <c r="E8" s="56">
        <v>0</v>
      </c>
      <c r="F8" s="56">
        <v>480720.83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</row>
    <row r="9" spans="1:12" x14ac:dyDescent="0.25">
      <c r="A9" t="s">
        <v>290</v>
      </c>
      <c r="B9" t="s">
        <v>266</v>
      </c>
      <c r="C9" s="56">
        <v>775240.52</v>
      </c>
      <c r="D9" s="56">
        <v>0</v>
      </c>
      <c r="E9" s="56">
        <v>775240.52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</row>
    <row r="10" spans="1:12" x14ac:dyDescent="0.25">
      <c r="A10" t="s">
        <v>290</v>
      </c>
      <c r="B10" t="s">
        <v>270</v>
      </c>
      <c r="C10" s="56">
        <v>613527.79</v>
      </c>
      <c r="D10" s="56">
        <v>0</v>
      </c>
      <c r="E10" s="56">
        <v>0</v>
      </c>
      <c r="F10" s="56">
        <v>0</v>
      </c>
      <c r="G10" s="56">
        <v>155541.9</v>
      </c>
      <c r="H10" s="56">
        <v>0</v>
      </c>
      <c r="I10" s="56">
        <v>457985.89</v>
      </c>
      <c r="J10" s="56">
        <v>0</v>
      </c>
      <c r="K10" s="56">
        <v>0</v>
      </c>
      <c r="L10" s="56">
        <v>0</v>
      </c>
    </row>
    <row r="11" spans="1:12" x14ac:dyDescent="0.25">
      <c r="A11" t="s">
        <v>290</v>
      </c>
      <c r="B11" t="s">
        <v>271</v>
      </c>
      <c r="C11" s="56">
        <v>343860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343860</v>
      </c>
    </row>
    <row r="12" spans="1:12" x14ac:dyDescent="0.25">
      <c r="A12" t="s">
        <v>290</v>
      </c>
      <c r="B12" t="s">
        <v>273</v>
      </c>
      <c r="C12" s="56">
        <v>5845.23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5845.23</v>
      </c>
      <c r="L12" s="56">
        <v>0</v>
      </c>
    </row>
    <row r="13" spans="1:12" x14ac:dyDescent="0.25">
      <c r="A13" t="s">
        <v>290</v>
      </c>
      <c r="B13" t="s">
        <v>283</v>
      </c>
      <c r="C13" s="56">
        <v>313324.14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313324.14</v>
      </c>
      <c r="L13" s="56">
        <v>0</v>
      </c>
    </row>
    <row r="14" spans="1:12" x14ac:dyDescent="0.25">
      <c r="A14" t="s">
        <v>290</v>
      </c>
      <c r="B14" t="s">
        <v>274</v>
      </c>
      <c r="C14" s="56">
        <v>650299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650299</v>
      </c>
    </row>
    <row r="15" spans="1:12" x14ac:dyDescent="0.25">
      <c r="A15" t="s">
        <v>290</v>
      </c>
      <c r="B15" t="s">
        <v>276</v>
      </c>
      <c r="C15" s="56">
        <v>199836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199836</v>
      </c>
    </row>
    <row r="16" spans="1:12" x14ac:dyDescent="0.25">
      <c r="A16" t="s">
        <v>290</v>
      </c>
      <c r="B16" t="s">
        <v>278</v>
      </c>
      <c r="C16" s="56">
        <v>820928.73</v>
      </c>
      <c r="D16" s="56">
        <v>544839.36</v>
      </c>
      <c r="E16" s="56">
        <v>0</v>
      </c>
      <c r="F16" s="56">
        <v>276089.37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</row>
    <row r="17" spans="1:12" x14ac:dyDescent="0.25">
      <c r="A17" t="s">
        <v>290</v>
      </c>
      <c r="B17" t="s">
        <v>279</v>
      </c>
      <c r="C17" s="56">
        <v>21945.42</v>
      </c>
      <c r="D17" s="56">
        <v>0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21945.42</v>
      </c>
      <c r="K17" s="56">
        <v>0</v>
      </c>
      <c r="L17" s="56">
        <v>0</v>
      </c>
    </row>
    <row r="18" spans="1:12" x14ac:dyDescent="0.25">
      <c r="A18" t="s">
        <v>290</v>
      </c>
      <c r="B18" t="s">
        <v>287</v>
      </c>
      <c r="C18" s="56">
        <v>211742.63</v>
      </c>
      <c r="D18" s="56">
        <v>0</v>
      </c>
      <c r="E18" s="56">
        <v>0</v>
      </c>
      <c r="F18" s="56">
        <v>182479.2</v>
      </c>
      <c r="G18" s="56">
        <v>0</v>
      </c>
      <c r="H18" s="56">
        <v>0</v>
      </c>
      <c r="I18" s="56">
        <v>0</v>
      </c>
      <c r="J18" s="56">
        <v>29263.43</v>
      </c>
      <c r="K18" s="56">
        <v>0</v>
      </c>
      <c r="L18" s="56">
        <v>0</v>
      </c>
    </row>
    <row r="19" spans="1:12" x14ac:dyDescent="0.25">
      <c r="A19" t="s">
        <v>290</v>
      </c>
      <c r="B19" t="s">
        <v>288</v>
      </c>
      <c r="C19" s="56">
        <v>25048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25048</v>
      </c>
    </row>
    <row r="20" spans="1:12" x14ac:dyDescent="0.25">
      <c r="B20" s="12" t="s">
        <v>121</v>
      </c>
      <c r="C20" s="56">
        <f>SUBTOTAL(109,Table14[Pending Bills])</f>
        <v>6406801.9799999995</v>
      </c>
      <c r="D20" s="56">
        <f>SUBTOTAL(109,Table14[(&lt; 15 days )])</f>
        <v>1443453.63</v>
      </c>
      <c r="E20" s="56">
        <f>SUBTOTAL(109,Table14[15 to 30 days])</f>
        <v>775240.52</v>
      </c>
      <c r="F20" s="56">
        <f>SUBTOTAL(109,Table14[30 to 45 days])</f>
        <v>939289.39999999991</v>
      </c>
      <c r="G20" s="56">
        <f>SUBTOTAL(109,Table14[45 to 60 days])</f>
        <v>155541.9</v>
      </c>
      <c r="H20" s="56">
        <f>SUBTOTAL(109,Table14[60 to 90 days])</f>
        <v>363087.7</v>
      </c>
      <c r="I20" s="56">
        <f>SUBTOTAL(109,Table14[90 to 180 days])</f>
        <v>457985.89</v>
      </c>
      <c r="J20" s="56">
        <f>SUBTOTAL(109,Table14[180 to 365 days])</f>
        <v>102130.78</v>
      </c>
      <c r="K20" s="56">
        <f>SUBTOTAL(109,Table14[365 to 730 days])</f>
        <v>401477.88</v>
      </c>
      <c r="L20" s="56">
        <f>SUBTOTAL(109,Table14[(&gt; 730 days )])</f>
        <v>1768594.28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opLeftCell="B1" workbookViewId="0">
      <selection activeCell="B1" sqref="B1:C5"/>
    </sheetView>
  </sheetViews>
  <sheetFormatPr defaultRowHeight="15" x14ac:dyDescent="0.25"/>
  <cols>
    <col min="1" max="1" width="0" hidden="1" customWidth="1"/>
    <col min="2" max="2" width="29.42578125" bestFit="1" customWidth="1"/>
    <col min="3" max="3" width="14.5703125" style="44" customWidth="1"/>
    <col min="4" max="4" width="12.85546875" style="44" customWidth="1"/>
    <col min="5" max="8" width="14.28515625" style="44" customWidth="1"/>
    <col min="9" max="9" width="15.28515625" style="44" customWidth="1"/>
    <col min="10" max="11" width="16.28515625" style="44" customWidth="1"/>
    <col min="12" max="12" width="13.85546875" style="44" customWidth="1"/>
  </cols>
  <sheetData>
    <row r="1" spans="1:12" x14ac:dyDescent="0.25">
      <c r="B1" s="46" t="str">
        <f>+A3</f>
        <v>Lavanya</v>
      </c>
      <c r="C1" s="51" t="s">
        <v>310</v>
      </c>
    </row>
    <row r="2" spans="1:12" x14ac:dyDescent="0.25">
      <c r="A2" t="s">
        <v>122</v>
      </c>
      <c r="B2" t="s">
        <v>297</v>
      </c>
      <c r="C2" s="44" t="s">
        <v>0</v>
      </c>
      <c r="D2" s="44" t="s">
        <v>1</v>
      </c>
      <c r="E2" s="44" t="s">
        <v>2</v>
      </c>
      <c r="F2" s="44" t="s">
        <v>3</v>
      </c>
      <c r="G2" s="44" t="s">
        <v>4</v>
      </c>
      <c r="H2" s="44" t="s">
        <v>5</v>
      </c>
      <c r="I2" s="44" t="s">
        <v>6</v>
      </c>
      <c r="J2" s="44" t="s">
        <v>7</v>
      </c>
      <c r="K2" s="44" t="s">
        <v>8</v>
      </c>
      <c r="L2" s="44" t="s">
        <v>9</v>
      </c>
    </row>
    <row r="3" spans="1:12" x14ac:dyDescent="0.25">
      <c r="A3" t="s">
        <v>114</v>
      </c>
      <c r="B3" t="s">
        <v>115</v>
      </c>
      <c r="C3" s="44">
        <v>503397</v>
      </c>
      <c r="D3" s="44">
        <v>503397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v>0</v>
      </c>
      <c r="L3" s="44">
        <v>0</v>
      </c>
    </row>
    <row r="4" spans="1:12" x14ac:dyDescent="0.25">
      <c r="A4" t="s">
        <v>114</v>
      </c>
      <c r="B4" t="s">
        <v>115</v>
      </c>
      <c r="C4" s="44">
        <v>1155050</v>
      </c>
      <c r="D4" s="44">
        <v>1155050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v>0</v>
      </c>
      <c r="L4" s="44">
        <v>0</v>
      </c>
    </row>
    <row r="5" spans="1:12" x14ac:dyDescent="0.25">
      <c r="A5" s="12"/>
      <c r="B5" s="12" t="s">
        <v>121</v>
      </c>
      <c r="C5" s="43">
        <f>SUBTOTAL(109,Table15[Pending Bills])</f>
        <v>1658447</v>
      </c>
      <c r="D5" s="43">
        <f>SUBTOTAL(109,Table15[(&lt; 15 days )])</f>
        <v>1658447</v>
      </c>
      <c r="E5" s="43">
        <f>SUBTOTAL(109,Table15[15 to 30 days])</f>
        <v>0</v>
      </c>
      <c r="F5" s="43">
        <f>SUBTOTAL(109,Table15[30 to 45 days])</f>
        <v>0</v>
      </c>
      <c r="G5" s="43">
        <f>SUBTOTAL(109,Table15[45 to 60 days])</f>
        <v>0</v>
      </c>
      <c r="H5" s="43">
        <f>SUBTOTAL(109,Table15[60 to 90 days])</f>
        <v>0</v>
      </c>
      <c r="I5" s="43">
        <f>SUBTOTAL(109,Table15[90 to 180 days])</f>
        <v>0</v>
      </c>
      <c r="J5" s="43">
        <f>SUBTOTAL(109,Table15[180 to 365 days])</f>
        <v>0</v>
      </c>
      <c r="K5" s="43">
        <f>SUBTOTAL(109,Table15[365 to 730 days])</f>
        <v>0</v>
      </c>
      <c r="L5" s="43">
        <f>SUBTOTAL(109,Table15[(&gt; 730 days )])</f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opLeftCell="B1" workbookViewId="0">
      <selection activeCell="B1" sqref="B1:C6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s="46" t="str">
        <f>+A3</f>
        <v>Ranjith</v>
      </c>
      <c r="C1" s="51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206</v>
      </c>
      <c r="B3" t="s">
        <v>208</v>
      </c>
      <c r="C3" s="41">
        <v>2738425</v>
      </c>
      <c r="D3" s="41">
        <v>2738425</v>
      </c>
      <c r="E3" s="41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1">
        <v>0</v>
      </c>
    </row>
    <row r="4" spans="1:12" x14ac:dyDescent="0.25">
      <c r="A4" t="s">
        <v>206</v>
      </c>
      <c r="B4" t="s">
        <v>208</v>
      </c>
      <c r="C4" s="41">
        <v>1086175</v>
      </c>
      <c r="D4" s="41">
        <v>1086175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</row>
    <row r="5" spans="1:12" x14ac:dyDescent="0.25">
      <c r="A5" t="s">
        <v>206</v>
      </c>
      <c r="B5" t="s">
        <v>223</v>
      </c>
      <c r="C5" s="41">
        <v>14565</v>
      </c>
      <c r="D5" s="41">
        <v>0</v>
      </c>
      <c r="E5" s="41">
        <v>14565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</row>
    <row r="6" spans="1:12" x14ac:dyDescent="0.25">
      <c r="A6" s="12"/>
      <c r="B6" s="12" t="s">
        <v>121</v>
      </c>
      <c r="C6" s="40">
        <f>SUBTOTAL(109,Table19[Pending Bills])</f>
        <v>3839165</v>
      </c>
      <c r="D6" s="40">
        <f>SUBTOTAL(109,Table19[(&lt; 15 days )])</f>
        <v>3824600</v>
      </c>
      <c r="E6" s="40">
        <f>SUBTOTAL(109,Table19[15 to 30 days])</f>
        <v>14565</v>
      </c>
      <c r="F6" s="40">
        <f>SUBTOTAL(109,Table19[30 to 45 days])</f>
        <v>0</v>
      </c>
      <c r="G6" s="40">
        <f>SUBTOTAL(109,Table19[45 to 60 days])</f>
        <v>0</v>
      </c>
      <c r="H6" s="40">
        <f>SUBTOTAL(109,Table19[60 to 90 days])</f>
        <v>0</v>
      </c>
      <c r="I6" s="40">
        <f>SUBTOTAL(109,Table19[90 to 180 days])</f>
        <v>0</v>
      </c>
      <c r="J6" s="40">
        <f>SUBTOTAL(109,Table19[180 to 365 days])</f>
        <v>0</v>
      </c>
      <c r="K6" s="40">
        <f>SUBTOTAL(109,Table19[365 to 730 days])</f>
        <v>0</v>
      </c>
      <c r="L6" s="40">
        <f>SUBTOTAL(109,Table19[(&gt; 730 days )])</f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B1" workbookViewId="0">
      <selection activeCell="C3" sqref="C3:L8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s="46" t="str">
        <f>+A3</f>
        <v>Mahendra</v>
      </c>
      <c r="C1" s="51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116</v>
      </c>
      <c r="B3" t="s">
        <v>149</v>
      </c>
      <c r="C3" s="41">
        <v>1319600</v>
      </c>
      <c r="D3" s="41">
        <v>1316500</v>
      </c>
      <c r="E3" s="41">
        <v>0</v>
      </c>
      <c r="F3" s="41">
        <v>3100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1">
        <v>0</v>
      </c>
    </row>
    <row r="4" spans="1:12" x14ac:dyDescent="0.25">
      <c r="A4" t="s">
        <v>116</v>
      </c>
      <c r="B4" t="s">
        <v>150</v>
      </c>
      <c r="C4" s="41">
        <v>342500</v>
      </c>
      <c r="D4" s="41">
        <v>342500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0</v>
      </c>
      <c r="L4" s="41">
        <v>0</v>
      </c>
    </row>
    <row r="5" spans="1:12" x14ac:dyDescent="0.25">
      <c r="A5" t="s">
        <v>116</v>
      </c>
      <c r="B5" t="s">
        <v>117</v>
      </c>
      <c r="C5" s="41">
        <v>5950</v>
      </c>
      <c r="D5" s="41">
        <v>0</v>
      </c>
      <c r="E5" s="41">
        <v>5950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0</v>
      </c>
      <c r="L5" s="41">
        <v>0</v>
      </c>
    </row>
    <row r="6" spans="1:12" x14ac:dyDescent="0.25">
      <c r="A6" t="s">
        <v>116</v>
      </c>
      <c r="B6" t="s">
        <v>151</v>
      </c>
      <c r="C6" s="41">
        <v>582341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66817</v>
      </c>
      <c r="L6" s="41">
        <v>515524</v>
      </c>
    </row>
    <row r="7" spans="1:12" x14ac:dyDescent="0.25">
      <c r="A7" t="s">
        <v>116</v>
      </c>
      <c r="B7" t="s">
        <v>151</v>
      </c>
      <c r="C7" s="41">
        <v>2801980.25</v>
      </c>
      <c r="D7" s="41">
        <v>0</v>
      </c>
      <c r="E7" s="41">
        <v>0</v>
      </c>
      <c r="F7" s="41">
        <v>77825</v>
      </c>
      <c r="G7" s="41">
        <v>0</v>
      </c>
      <c r="H7" s="41">
        <v>0</v>
      </c>
      <c r="I7" s="41">
        <v>468450</v>
      </c>
      <c r="J7" s="41">
        <v>1196972.25</v>
      </c>
      <c r="K7" s="41">
        <v>1058733</v>
      </c>
      <c r="L7" s="41">
        <v>0</v>
      </c>
    </row>
    <row r="8" spans="1:12" x14ac:dyDescent="0.25">
      <c r="A8" s="12"/>
      <c r="B8" s="12" t="s">
        <v>121</v>
      </c>
      <c r="C8" s="40">
        <f>SUBTOTAL(109,Table16[Pending Bills])</f>
        <v>5052371.25</v>
      </c>
      <c r="D8" s="40">
        <f>SUBTOTAL(109,Table16[(&lt; 15 days )])</f>
        <v>1659000</v>
      </c>
      <c r="E8" s="40">
        <f>SUBTOTAL(109,Table16[15 to 30 days])</f>
        <v>5950</v>
      </c>
      <c r="F8" s="40">
        <f>SUBTOTAL(109,Table16[30 to 45 days])</f>
        <v>80925</v>
      </c>
      <c r="G8" s="40">
        <f>SUBTOTAL(109,Table16[45 to 60 days])</f>
        <v>0</v>
      </c>
      <c r="H8" s="40">
        <f>SUBTOTAL(109,Table16[60 to 90 days])</f>
        <v>0</v>
      </c>
      <c r="I8" s="40">
        <f>SUBTOTAL(109,Table16[90 to 180 days])</f>
        <v>468450</v>
      </c>
      <c r="J8" s="40">
        <f>SUBTOTAL(109,Table16[180 to 365 days])</f>
        <v>1196972.25</v>
      </c>
      <c r="K8" s="40">
        <f>SUBTOTAL(109,Table16[365 to 730 days])</f>
        <v>1125550</v>
      </c>
      <c r="L8" s="40">
        <f>SUBTOTAL(109,Table16[(&gt; 730 days )])</f>
        <v>515524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B1" workbookViewId="0">
      <selection activeCell="N26" sqref="N26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s="46" t="str">
        <f>+A3</f>
        <v>Prabhakar</v>
      </c>
      <c r="C1" s="51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118</v>
      </c>
      <c r="B3" t="s">
        <v>152</v>
      </c>
      <c r="C3" s="41">
        <v>4550</v>
      </c>
      <c r="D3" s="41">
        <v>0</v>
      </c>
      <c r="E3" s="41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0</v>
      </c>
      <c r="L3" s="41">
        <v>4550</v>
      </c>
    </row>
    <row r="4" spans="1:12" x14ac:dyDescent="0.25">
      <c r="A4" t="s">
        <v>118</v>
      </c>
      <c r="B4" t="s">
        <v>163</v>
      </c>
      <c r="C4" s="41">
        <v>125036</v>
      </c>
      <c r="D4" s="41">
        <v>0</v>
      </c>
      <c r="E4" s="41">
        <v>0</v>
      </c>
      <c r="F4" s="41">
        <v>0</v>
      </c>
      <c r="G4" s="41">
        <v>0</v>
      </c>
      <c r="H4" s="41">
        <v>0</v>
      </c>
      <c r="I4" s="41">
        <v>0</v>
      </c>
      <c r="J4" s="41">
        <v>0</v>
      </c>
      <c r="K4" s="41">
        <v>125036</v>
      </c>
      <c r="L4" s="41">
        <v>0</v>
      </c>
    </row>
    <row r="5" spans="1:12" x14ac:dyDescent="0.25">
      <c r="A5" t="s">
        <v>118</v>
      </c>
      <c r="B5" t="s">
        <v>153</v>
      </c>
      <c r="C5" s="41">
        <v>168114</v>
      </c>
      <c r="D5" s="41">
        <v>0</v>
      </c>
      <c r="E5" s="41">
        <v>0</v>
      </c>
      <c r="F5" s="41">
        <v>0</v>
      </c>
      <c r="G5" s="41">
        <v>0</v>
      </c>
      <c r="H5" s="41">
        <v>0</v>
      </c>
      <c r="I5" s="41">
        <v>0</v>
      </c>
      <c r="J5" s="41">
        <v>0</v>
      </c>
      <c r="K5" s="41">
        <v>168114</v>
      </c>
      <c r="L5" s="41">
        <v>0</v>
      </c>
    </row>
    <row r="6" spans="1:12" x14ac:dyDescent="0.25">
      <c r="A6" t="s">
        <v>118</v>
      </c>
      <c r="B6" t="s">
        <v>153</v>
      </c>
      <c r="C6" s="41">
        <v>12300</v>
      </c>
      <c r="D6" s="41">
        <v>0</v>
      </c>
      <c r="E6" s="41">
        <v>0</v>
      </c>
      <c r="F6" s="41">
        <v>0</v>
      </c>
      <c r="G6" s="41">
        <v>0</v>
      </c>
      <c r="H6" s="41">
        <v>0</v>
      </c>
      <c r="I6" s="41">
        <v>0</v>
      </c>
      <c r="J6" s="41">
        <v>0</v>
      </c>
      <c r="K6" s="41">
        <v>0</v>
      </c>
      <c r="L6" s="41">
        <v>12300</v>
      </c>
    </row>
    <row r="7" spans="1:12" x14ac:dyDescent="0.25">
      <c r="A7" t="s">
        <v>118</v>
      </c>
      <c r="B7" t="s">
        <v>164</v>
      </c>
      <c r="C7" s="41">
        <v>8400</v>
      </c>
      <c r="D7" s="41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0</v>
      </c>
      <c r="L7" s="41">
        <v>8400</v>
      </c>
    </row>
    <row r="8" spans="1:12" x14ac:dyDescent="0.25">
      <c r="A8" t="s">
        <v>118</v>
      </c>
      <c r="B8" t="s">
        <v>165</v>
      </c>
      <c r="C8" s="41">
        <v>24074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41">
        <v>0</v>
      </c>
      <c r="K8" s="41">
        <v>23124</v>
      </c>
      <c r="L8" s="41">
        <v>950</v>
      </c>
    </row>
    <row r="9" spans="1:12" x14ac:dyDescent="0.25">
      <c r="A9" t="s">
        <v>118</v>
      </c>
      <c r="B9" t="s">
        <v>166</v>
      </c>
      <c r="C9" s="41">
        <v>173480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  <c r="K9" s="41">
        <v>173480</v>
      </c>
      <c r="L9" s="41">
        <v>0</v>
      </c>
    </row>
    <row r="10" spans="1:12" x14ac:dyDescent="0.25">
      <c r="A10" t="s">
        <v>118</v>
      </c>
      <c r="B10" t="s">
        <v>167</v>
      </c>
      <c r="C10" s="41">
        <v>81564.160000000003</v>
      </c>
      <c r="D10" s="41">
        <v>0</v>
      </c>
      <c r="E10" s="41">
        <v>0</v>
      </c>
      <c r="F10" s="41">
        <v>0</v>
      </c>
      <c r="G10" s="41">
        <v>0</v>
      </c>
      <c r="H10" s="41">
        <v>0</v>
      </c>
      <c r="I10" s="41">
        <v>0</v>
      </c>
      <c r="J10" s="41">
        <v>0</v>
      </c>
      <c r="K10" s="41">
        <v>81564.160000000003</v>
      </c>
      <c r="L10" s="41">
        <v>0</v>
      </c>
    </row>
    <row r="11" spans="1:12" x14ac:dyDescent="0.25">
      <c r="A11" t="s">
        <v>118</v>
      </c>
      <c r="B11" t="s">
        <v>154</v>
      </c>
      <c r="C11" s="41">
        <v>21000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  <c r="K11" s="41">
        <v>0</v>
      </c>
      <c r="L11" s="41">
        <v>21000</v>
      </c>
    </row>
    <row r="12" spans="1:12" x14ac:dyDescent="0.25">
      <c r="A12" t="s">
        <v>118</v>
      </c>
      <c r="B12" t="s">
        <v>154</v>
      </c>
      <c r="C12" s="41">
        <v>114750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41">
        <v>0</v>
      </c>
      <c r="K12" s="41">
        <v>0</v>
      </c>
      <c r="L12" s="41">
        <v>114750</v>
      </c>
    </row>
    <row r="13" spans="1:12" x14ac:dyDescent="0.25">
      <c r="A13" t="s">
        <v>118</v>
      </c>
      <c r="B13" t="s">
        <v>168</v>
      </c>
      <c r="C13" s="41">
        <v>6444.4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6444.4</v>
      </c>
    </row>
    <row r="14" spans="1:12" x14ac:dyDescent="0.25">
      <c r="A14" t="s">
        <v>118</v>
      </c>
      <c r="B14" t="s">
        <v>169</v>
      </c>
      <c r="C14" s="41">
        <v>12000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41">
        <v>0</v>
      </c>
      <c r="K14" s="41">
        <v>0</v>
      </c>
      <c r="L14" s="41">
        <v>12000</v>
      </c>
    </row>
    <row r="15" spans="1:12" x14ac:dyDescent="0.25">
      <c r="A15" t="s">
        <v>118</v>
      </c>
      <c r="B15" t="s">
        <v>119</v>
      </c>
      <c r="C15" s="41">
        <v>12000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  <c r="K15" s="41">
        <v>0</v>
      </c>
      <c r="L15" s="41">
        <v>12000</v>
      </c>
    </row>
    <row r="16" spans="1:12" x14ac:dyDescent="0.25">
      <c r="A16" t="s">
        <v>118</v>
      </c>
      <c r="B16" t="s">
        <v>119</v>
      </c>
      <c r="C16" s="41">
        <v>13602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41">
        <v>0</v>
      </c>
      <c r="K16" s="41">
        <v>0</v>
      </c>
      <c r="L16" s="41">
        <v>13602</v>
      </c>
    </row>
    <row r="17" spans="1:12" x14ac:dyDescent="0.25">
      <c r="A17" t="s">
        <v>118</v>
      </c>
      <c r="B17" t="s">
        <v>119</v>
      </c>
      <c r="C17" s="41">
        <v>6650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41">
        <v>0</v>
      </c>
      <c r="K17" s="41">
        <v>0</v>
      </c>
      <c r="L17" s="41">
        <v>6650</v>
      </c>
    </row>
    <row r="18" spans="1:12" x14ac:dyDescent="0.25">
      <c r="A18" t="s">
        <v>118</v>
      </c>
      <c r="B18" t="s">
        <v>176</v>
      </c>
      <c r="C18" s="41">
        <v>6000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41">
        <v>0</v>
      </c>
      <c r="K18" s="41">
        <v>6000</v>
      </c>
      <c r="L18" s="41">
        <v>0</v>
      </c>
    </row>
    <row r="19" spans="1:12" x14ac:dyDescent="0.25">
      <c r="A19" t="s">
        <v>118</v>
      </c>
      <c r="B19" t="s">
        <v>171</v>
      </c>
      <c r="C19" s="41">
        <v>47736</v>
      </c>
      <c r="D19" s="41">
        <v>0</v>
      </c>
      <c r="E19" s="41">
        <v>0</v>
      </c>
      <c r="F19" s="41">
        <v>0</v>
      </c>
      <c r="G19" s="41">
        <v>0</v>
      </c>
      <c r="H19" s="41">
        <v>0</v>
      </c>
      <c r="I19" s="41">
        <v>0</v>
      </c>
      <c r="J19" s="41">
        <v>0</v>
      </c>
      <c r="K19" s="41">
        <v>0</v>
      </c>
      <c r="L19" s="41">
        <v>47736</v>
      </c>
    </row>
    <row r="20" spans="1:12" x14ac:dyDescent="0.25">
      <c r="A20" t="s">
        <v>118</v>
      </c>
      <c r="B20" t="s">
        <v>172</v>
      </c>
      <c r="C20" s="41">
        <v>40000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41">
        <v>0</v>
      </c>
      <c r="K20" s="41">
        <v>0</v>
      </c>
      <c r="L20" s="41">
        <v>40000</v>
      </c>
    </row>
    <row r="21" spans="1:12" x14ac:dyDescent="0.25">
      <c r="A21" t="s">
        <v>118</v>
      </c>
      <c r="B21" t="s">
        <v>173</v>
      </c>
      <c r="C21" s="41">
        <v>19760</v>
      </c>
      <c r="D21" s="41">
        <v>0</v>
      </c>
      <c r="E21" s="41">
        <v>0</v>
      </c>
      <c r="F21" s="41">
        <v>0</v>
      </c>
      <c r="G21" s="41">
        <v>0</v>
      </c>
      <c r="H21" s="41">
        <v>0</v>
      </c>
      <c r="I21" s="41">
        <v>0</v>
      </c>
      <c r="J21" s="41">
        <v>0</v>
      </c>
      <c r="K21" s="41">
        <v>0</v>
      </c>
      <c r="L21" s="41">
        <v>19760</v>
      </c>
    </row>
    <row r="22" spans="1:12" x14ac:dyDescent="0.25">
      <c r="A22" t="s">
        <v>118</v>
      </c>
      <c r="B22" t="s">
        <v>174</v>
      </c>
      <c r="C22" s="41">
        <v>734485</v>
      </c>
      <c r="D22" s="41">
        <v>0</v>
      </c>
      <c r="E22" s="41">
        <v>0</v>
      </c>
      <c r="F22" s="41">
        <v>0</v>
      </c>
      <c r="G22" s="41">
        <v>0</v>
      </c>
      <c r="H22" s="41">
        <v>0</v>
      </c>
      <c r="I22" s="41">
        <v>0</v>
      </c>
      <c r="J22" s="41">
        <v>0</v>
      </c>
      <c r="K22" s="41">
        <v>0</v>
      </c>
      <c r="L22" s="41">
        <v>734485</v>
      </c>
    </row>
    <row r="23" spans="1:12" x14ac:dyDescent="0.25">
      <c r="A23" t="s">
        <v>118</v>
      </c>
      <c r="B23" t="s">
        <v>175</v>
      </c>
      <c r="C23" s="41">
        <v>945500</v>
      </c>
      <c r="D23" s="41">
        <v>0</v>
      </c>
      <c r="E23" s="41">
        <v>0</v>
      </c>
      <c r="F23" s="41">
        <v>0</v>
      </c>
      <c r="G23" s="41">
        <v>0</v>
      </c>
      <c r="H23" s="41">
        <v>0</v>
      </c>
      <c r="I23" s="41">
        <v>0</v>
      </c>
      <c r="J23" s="41">
        <v>0</v>
      </c>
      <c r="K23" s="41">
        <v>945500</v>
      </c>
      <c r="L23" s="41">
        <v>0</v>
      </c>
    </row>
    <row r="24" spans="1:12" x14ac:dyDescent="0.25">
      <c r="A24" t="s">
        <v>118</v>
      </c>
      <c r="B24" t="s">
        <v>177</v>
      </c>
      <c r="C24" s="41">
        <v>128860</v>
      </c>
      <c r="D24" s="41">
        <v>0</v>
      </c>
      <c r="E24" s="41">
        <v>0</v>
      </c>
      <c r="F24" s="41">
        <v>0</v>
      </c>
      <c r="G24" s="41">
        <v>0</v>
      </c>
      <c r="H24" s="41">
        <v>0</v>
      </c>
      <c r="I24" s="41">
        <v>0</v>
      </c>
      <c r="J24" s="41">
        <v>0</v>
      </c>
      <c r="K24" s="41">
        <v>0</v>
      </c>
      <c r="L24" s="41">
        <v>128860</v>
      </c>
    </row>
    <row r="25" spans="1:12" x14ac:dyDescent="0.25">
      <c r="A25" t="s">
        <v>118</v>
      </c>
      <c r="B25" t="s">
        <v>155</v>
      </c>
      <c r="C25" s="41">
        <v>28025</v>
      </c>
      <c r="D25" s="41">
        <v>0</v>
      </c>
      <c r="E25" s="41">
        <v>0</v>
      </c>
      <c r="F25" s="41">
        <v>0</v>
      </c>
      <c r="G25" s="41">
        <v>0</v>
      </c>
      <c r="H25" s="41">
        <v>0</v>
      </c>
      <c r="I25" s="41">
        <v>0</v>
      </c>
      <c r="J25" s="41">
        <v>0</v>
      </c>
      <c r="K25" s="41">
        <v>0</v>
      </c>
      <c r="L25" s="41">
        <v>28025</v>
      </c>
    </row>
    <row r="26" spans="1:12" x14ac:dyDescent="0.25">
      <c r="A26" t="s">
        <v>118</v>
      </c>
      <c r="B26" t="s">
        <v>178</v>
      </c>
      <c r="C26" s="41">
        <v>197000</v>
      </c>
      <c r="D26" s="41">
        <v>0</v>
      </c>
      <c r="E26" s="41">
        <v>0</v>
      </c>
      <c r="F26" s="41">
        <v>0</v>
      </c>
      <c r="G26" s="41">
        <v>0</v>
      </c>
      <c r="H26" s="41">
        <v>0</v>
      </c>
      <c r="I26" s="41">
        <v>0</v>
      </c>
      <c r="J26" s="41">
        <v>0</v>
      </c>
      <c r="K26" s="41">
        <v>0</v>
      </c>
      <c r="L26" s="41">
        <v>197000</v>
      </c>
    </row>
    <row r="27" spans="1:12" x14ac:dyDescent="0.25">
      <c r="A27" t="s">
        <v>118</v>
      </c>
      <c r="B27" t="s">
        <v>180</v>
      </c>
      <c r="C27" s="41">
        <v>40250</v>
      </c>
      <c r="D27" s="41">
        <v>0</v>
      </c>
      <c r="E27" s="41">
        <v>0</v>
      </c>
      <c r="F27" s="41">
        <v>0</v>
      </c>
      <c r="G27" s="41">
        <v>0</v>
      </c>
      <c r="H27" s="41">
        <v>0</v>
      </c>
      <c r="I27" s="41">
        <v>0</v>
      </c>
      <c r="J27" s="41">
        <v>0</v>
      </c>
      <c r="K27" s="41">
        <v>0</v>
      </c>
      <c r="L27" s="41">
        <v>40250</v>
      </c>
    </row>
    <row r="28" spans="1:12" x14ac:dyDescent="0.25">
      <c r="A28" t="s">
        <v>118</v>
      </c>
      <c r="B28" t="s">
        <v>181</v>
      </c>
      <c r="C28" s="41">
        <v>777024</v>
      </c>
      <c r="D28" s="41">
        <v>0</v>
      </c>
      <c r="E28" s="41">
        <v>0</v>
      </c>
      <c r="F28" s="41">
        <v>0</v>
      </c>
      <c r="G28" s="41">
        <v>0</v>
      </c>
      <c r="H28" s="41">
        <v>0</v>
      </c>
      <c r="I28" s="41">
        <v>0</v>
      </c>
      <c r="J28" s="41">
        <v>0</v>
      </c>
      <c r="K28" s="41">
        <v>0</v>
      </c>
      <c r="L28" s="41">
        <v>777024</v>
      </c>
    </row>
    <row r="29" spans="1:12" x14ac:dyDescent="0.25">
      <c r="A29" t="s">
        <v>118</v>
      </c>
      <c r="B29" t="s">
        <v>182</v>
      </c>
      <c r="C29" s="41">
        <v>153225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153225</v>
      </c>
      <c r="L29" s="41">
        <v>0</v>
      </c>
    </row>
    <row r="30" spans="1:12" x14ac:dyDescent="0.25">
      <c r="A30" t="s">
        <v>118</v>
      </c>
      <c r="B30" t="s">
        <v>183</v>
      </c>
      <c r="C30" s="41">
        <v>108000</v>
      </c>
      <c r="D30" s="41">
        <v>0</v>
      </c>
      <c r="E30" s="41">
        <v>0</v>
      </c>
      <c r="F30" s="41">
        <v>0</v>
      </c>
      <c r="G30" s="41">
        <v>0</v>
      </c>
      <c r="H30" s="41">
        <v>0</v>
      </c>
      <c r="I30" s="41">
        <v>0</v>
      </c>
      <c r="J30" s="41">
        <v>0</v>
      </c>
      <c r="K30" s="41">
        <v>0</v>
      </c>
      <c r="L30" s="41">
        <v>108000</v>
      </c>
    </row>
    <row r="31" spans="1:12" x14ac:dyDescent="0.25">
      <c r="A31" t="s">
        <v>118</v>
      </c>
      <c r="B31" t="s">
        <v>185</v>
      </c>
      <c r="C31" s="41">
        <v>50600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41">
        <v>0</v>
      </c>
      <c r="K31" s="41">
        <v>50600</v>
      </c>
      <c r="L31" s="41">
        <v>0</v>
      </c>
    </row>
    <row r="32" spans="1:12" x14ac:dyDescent="0.25">
      <c r="A32" t="s">
        <v>118</v>
      </c>
      <c r="B32" t="s">
        <v>204</v>
      </c>
      <c r="C32" s="41">
        <v>16700</v>
      </c>
      <c r="D32" s="41">
        <v>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41">
        <v>0</v>
      </c>
      <c r="K32" s="41">
        <v>16700</v>
      </c>
      <c r="L32" s="41">
        <v>0</v>
      </c>
    </row>
    <row r="33" spans="1:12" x14ac:dyDescent="0.25">
      <c r="A33" t="s">
        <v>118</v>
      </c>
      <c r="B33" t="s">
        <v>156</v>
      </c>
      <c r="C33" s="41">
        <v>2000</v>
      </c>
      <c r="D33" s="41">
        <v>0</v>
      </c>
      <c r="E33" s="41">
        <v>0</v>
      </c>
      <c r="F33" s="41">
        <v>0</v>
      </c>
      <c r="G33" s="41">
        <v>0</v>
      </c>
      <c r="H33" s="41">
        <v>0</v>
      </c>
      <c r="I33" s="41">
        <v>0</v>
      </c>
      <c r="J33" s="41">
        <v>0</v>
      </c>
      <c r="K33" s="41">
        <v>0</v>
      </c>
      <c r="L33" s="41">
        <v>2000</v>
      </c>
    </row>
    <row r="34" spans="1:12" x14ac:dyDescent="0.25">
      <c r="A34" t="s">
        <v>118</v>
      </c>
      <c r="B34" t="s">
        <v>156</v>
      </c>
      <c r="C34" s="41">
        <v>47800</v>
      </c>
      <c r="D34" s="41">
        <v>0</v>
      </c>
      <c r="E34" s="41">
        <v>0</v>
      </c>
      <c r="F34" s="41">
        <v>0</v>
      </c>
      <c r="G34" s="41">
        <v>0</v>
      </c>
      <c r="H34" s="41">
        <v>0</v>
      </c>
      <c r="I34" s="41">
        <v>0</v>
      </c>
      <c r="J34" s="41">
        <v>0</v>
      </c>
      <c r="K34" s="41">
        <v>0</v>
      </c>
      <c r="L34" s="41">
        <v>47800</v>
      </c>
    </row>
    <row r="35" spans="1:12" x14ac:dyDescent="0.25">
      <c r="A35" t="s">
        <v>118</v>
      </c>
      <c r="B35" t="s">
        <v>156</v>
      </c>
      <c r="C35" s="41">
        <v>18000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41">
        <v>0</v>
      </c>
      <c r="J35" s="41">
        <v>0</v>
      </c>
      <c r="K35" s="41">
        <v>0</v>
      </c>
      <c r="L35" s="41">
        <v>18000</v>
      </c>
    </row>
    <row r="36" spans="1:12" x14ac:dyDescent="0.25">
      <c r="A36" t="s">
        <v>118</v>
      </c>
      <c r="B36" t="s">
        <v>186</v>
      </c>
      <c r="C36" s="41">
        <v>68000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v>0</v>
      </c>
      <c r="L36" s="41">
        <v>68000</v>
      </c>
    </row>
    <row r="37" spans="1:12" x14ac:dyDescent="0.25">
      <c r="A37" t="s">
        <v>118</v>
      </c>
      <c r="B37" t="s">
        <v>205</v>
      </c>
      <c r="C37" s="41">
        <v>12000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12000</v>
      </c>
    </row>
    <row r="38" spans="1:12" x14ac:dyDescent="0.25">
      <c r="A38" t="s">
        <v>118</v>
      </c>
      <c r="B38" t="s">
        <v>187</v>
      </c>
      <c r="C38" s="41">
        <v>168000</v>
      </c>
      <c r="D38" s="41">
        <v>0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168000</v>
      </c>
      <c r="L38" s="41">
        <v>0</v>
      </c>
    </row>
    <row r="39" spans="1:12" x14ac:dyDescent="0.25">
      <c r="A39" t="s">
        <v>118</v>
      </c>
      <c r="B39" t="s">
        <v>188</v>
      </c>
      <c r="C39" s="41">
        <v>104500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104500</v>
      </c>
    </row>
    <row r="40" spans="1:12" x14ac:dyDescent="0.25">
      <c r="A40" t="s">
        <v>118</v>
      </c>
      <c r="B40" t="s">
        <v>120</v>
      </c>
      <c r="C40" s="41">
        <v>460909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460909</v>
      </c>
    </row>
    <row r="41" spans="1:12" x14ac:dyDescent="0.25">
      <c r="A41" t="s">
        <v>118</v>
      </c>
      <c r="B41" t="s">
        <v>120</v>
      </c>
      <c r="C41" s="41">
        <v>436800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436800</v>
      </c>
    </row>
    <row r="42" spans="1:12" x14ac:dyDescent="0.25">
      <c r="A42" t="s">
        <v>118</v>
      </c>
      <c r="B42" t="s">
        <v>189</v>
      </c>
      <c r="C42" s="41">
        <v>25200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25200</v>
      </c>
    </row>
    <row r="43" spans="1:12" x14ac:dyDescent="0.25">
      <c r="A43" t="s">
        <v>118</v>
      </c>
      <c r="B43" t="s">
        <v>190</v>
      </c>
      <c r="C43" s="41">
        <v>735000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735000</v>
      </c>
    </row>
    <row r="44" spans="1:12" x14ac:dyDescent="0.25">
      <c r="A44" t="s">
        <v>118</v>
      </c>
      <c r="B44" t="s">
        <v>191</v>
      </c>
      <c r="C44" s="41">
        <v>170000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41">
        <v>0</v>
      </c>
      <c r="K44" s="41">
        <v>0</v>
      </c>
      <c r="L44" s="41">
        <v>170000</v>
      </c>
    </row>
    <row r="45" spans="1:12" x14ac:dyDescent="0.25">
      <c r="A45" t="s">
        <v>118</v>
      </c>
      <c r="B45" t="s">
        <v>192</v>
      </c>
      <c r="C45" s="41">
        <v>321000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321000</v>
      </c>
      <c r="L45" s="41">
        <v>0</v>
      </c>
    </row>
    <row r="46" spans="1:12" x14ac:dyDescent="0.25">
      <c r="A46" t="s">
        <v>118</v>
      </c>
      <c r="B46" t="s">
        <v>157</v>
      </c>
      <c r="C46" s="41">
        <v>84000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v>0</v>
      </c>
      <c r="K46" s="41">
        <v>0</v>
      </c>
      <c r="L46" s="41">
        <v>84000</v>
      </c>
    </row>
    <row r="47" spans="1:12" x14ac:dyDescent="0.25">
      <c r="A47" t="s">
        <v>118</v>
      </c>
      <c r="B47" t="s">
        <v>157</v>
      </c>
      <c r="C47" s="41">
        <v>309520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v>309520</v>
      </c>
    </row>
    <row r="48" spans="1:12" x14ac:dyDescent="0.25">
      <c r="A48" t="s">
        <v>118</v>
      </c>
      <c r="B48" t="s">
        <v>193</v>
      </c>
      <c r="C48" s="41">
        <v>585000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v>0</v>
      </c>
      <c r="L48" s="41">
        <v>585000</v>
      </c>
    </row>
    <row r="49" spans="1:12" x14ac:dyDescent="0.25">
      <c r="A49" t="s">
        <v>118</v>
      </c>
      <c r="B49" t="s">
        <v>194</v>
      </c>
      <c r="C49" s="41">
        <v>11500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11500</v>
      </c>
      <c r="L49" s="41">
        <v>0</v>
      </c>
    </row>
    <row r="50" spans="1:12" x14ac:dyDescent="0.25">
      <c r="A50" t="s">
        <v>118</v>
      </c>
      <c r="B50" t="s">
        <v>158</v>
      </c>
      <c r="C50" s="41">
        <v>6150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6150</v>
      </c>
    </row>
    <row r="51" spans="1:12" x14ac:dyDescent="0.25">
      <c r="A51" s="12"/>
      <c r="B51" s="12" t="s">
        <v>121</v>
      </c>
      <c r="C51" s="40">
        <f>SUBTOTAL(109,Table17[Pending Bills])</f>
        <v>7642508.5600000005</v>
      </c>
      <c r="D51" s="40">
        <f>SUBTOTAL(109,Table17[(&lt; 15 days )])</f>
        <v>0</v>
      </c>
      <c r="E51" s="40">
        <f>SUBTOTAL(109,Table17[15 to 30 days])</f>
        <v>0</v>
      </c>
      <c r="F51" s="40">
        <f>SUBTOTAL(109,Table17[30 to 45 days])</f>
        <v>0</v>
      </c>
      <c r="G51" s="40">
        <f>SUBTOTAL(109,Table17[45 to 60 days])</f>
        <v>0</v>
      </c>
      <c r="H51" s="40">
        <f>SUBTOTAL(109,Table17[60 to 90 days])</f>
        <v>0</v>
      </c>
      <c r="I51" s="40">
        <f>SUBTOTAL(109,Table17[90 to 180 days])</f>
        <v>0</v>
      </c>
      <c r="J51" s="40">
        <f>SUBTOTAL(109,Table17[180 to 365 days])</f>
        <v>0</v>
      </c>
      <c r="K51" s="40">
        <f>SUBTOTAL(109,Table17[365 to 730 days])</f>
        <v>2243843.16</v>
      </c>
      <c r="L51" s="40">
        <f>SUBTOTAL(109,Table17[(&gt; 730 days )])</f>
        <v>5398665.4000000004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opLeftCell="B1" workbookViewId="0">
      <selection activeCell="C3" sqref="C3:L3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t="str" cm="1">
        <f t="array" ref="B1">+Table18[ASM]</f>
        <v>Raghavendra</v>
      </c>
      <c r="C1" s="51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296</v>
      </c>
      <c r="B3" t="s">
        <v>295</v>
      </c>
      <c r="C3" s="41">
        <v>985733</v>
      </c>
      <c r="D3" s="41">
        <v>0</v>
      </c>
      <c r="E3" s="41">
        <v>0</v>
      </c>
      <c r="F3" s="41">
        <v>0</v>
      </c>
      <c r="G3" s="41">
        <v>0</v>
      </c>
      <c r="H3" s="41">
        <v>0</v>
      </c>
      <c r="I3" s="41">
        <v>0</v>
      </c>
      <c r="J3" s="41">
        <v>0</v>
      </c>
      <c r="K3" s="41">
        <v>985733</v>
      </c>
      <c r="L3" s="41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opLeftCell="B1" workbookViewId="0">
      <selection activeCell="C12" sqref="C12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s="46" t="str">
        <f>+A3</f>
        <v>Ravibabu</v>
      </c>
      <c r="C1" s="54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291</v>
      </c>
      <c r="B3" t="s">
        <v>250</v>
      </c>
      <c r="C3" s="56">
        <v>299887.15000000002</v>
      </c>
      <c r="D3" s="56">
        <v>0</v>
      </c>
      <c r="E3" s="56">
        <v>0</v>
      </c>
      <c r="F3" s="56">
        <v>0</v>
      </c>
      <c r="G3" s="56">
        <v>0</v>
      </c>
      <c r="H3" s="56">
        <v>0</v>
      </c>
      <c r="I3" s="56">
        <v>0</v>
      </c>
      <c r="J3" s="56">
        <v>0</v>
      </c>
      <c r="K3" s="56">
        <v>0</v>
      </c>
      <c r="L3" s="56">
        <v>299887.15000000002</v>
      </c>
    </row>
    <row r="4" spans="1:12" x14ac:dyDescent="0.25">
      <c r="A4" t="s">
        <v>291</v>
      </c>
      <c r="B4" t="s">
        <v>259</v>
      </c>
      <c r="C4" s="56">
        <v>877923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877923</v>
      </c>
    </row>
    <row r="5" spans="1:12" x14ac:dyDescent="0.25">
      <c r="A5" t="s">
        <v>291</v>
      </c>
      <c r="B5" t="s">
        <v>260</v>
      </c>
      <c r="C5" s="56">
        <v>157024.79</v>
      </c>
      <c r="D5" s="56">
        <v>0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157024.79</v>
      </c>
    </row>
    <row r="6" spans="1:12" x14ac:dyDescent="0.25">
      <c r="A6" t="s">
        <v>291</v>
      </c>
      <c r="B6" t="s">
        <v>268</v>
      </c>
      <c r="C6" s="56">
        <v>234437</v>
      </c>
      <c r="D6" s="56">
        <v>0</v>
      </c>
      <c r="E6" s="56">
        <v>0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234437</v>
      </c>
    </row>
    <row r="7" spans="1:12" x14ac:dyDescent="0.25">
      <c r="A7" t="s">
        <v>291</v>
      </c>
      <c r="B7" t="s">
        <v>269</v>
      </c>
      <c r="C7" s="56">
        <v>891238.03</v>
      </c>
      <c r="D7" s="56">
        <v>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891238.03</v>
      </c>
    </row>
    <row r="8" spans="1:12" x14ac:dyDescent="0.25">
      <c r="A8" t="s">
        <v>291</v>
      </c>
      <c r="B8" t="s">
        <v>282</v>
      </c>
      <c r="C8" s="56">
        <v>647718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647718</v>
      </c>
    </row>
    <row r="9" spans="1:12" x14ac:dyDescent="0.25">
      <c r="A9" t="s">
        <v>291</v>
      </c>
      <c r="B9" t="s">
        <v>280</v>
      </c>
      <c r="C9" s="56">
        <v>458504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458504</v>
      </c>
    </row>
    <row r="10" spans="1:12" x14ac:dyDescent="0.25">
      <c r="A10" t="s">
        <v>291</v>
      </c>
      <c r="B10" t="s">
        <v>284</v>
      </c>
      <c r="C10" s="56">
        <v>34317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34317</v>
      </c>
    </row>
    <row r="11" spans="1:12" x14ac:dyDescent="0.25">
      <c r="A11" t="s">
        <v>291</v>
      </c>
      <c r="B11" t="s">
        <v>289</v>
      </c>
      <c r="C11" s="56">
        <v>12860.52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12860.52</v>
      </c>
      <c r="L11" s="56">
        <v>0</v>
      </c>
    </row>
    <row r="12" spans="1:12" x14ac:dyDescent="0.25">
      <c r="A12" s="53"/>
      <c r="B12" s="53" t="s">
        <v>121</v>
      </c>
      <c r="C12" s="58">
        <f>SUBTOTAL(109,C3:C11)</f>
        <v>3613909.4899999998</v>
      </c>
      <c r="D12" s="58">
        <f t="shared" ref="D12:L12" si="0">SUBTOTAL(109,D3:D11)</f>
        <v>0</v>
      </c>
      <c r="E12" s="58">
        <f t="shared" si="0"/>
        <v>0</v>
      </c>
      <c r="F12" s="58">
        <f t="shared" si="0"/>
        <v>0</v>
      </c>
      <c r="G12" s="58">
        <f t="shared" si="0"/>
        <v>0</v>
      </c>
      <c r="H12" s="58">
        <f t="shared" si="0"/>
        <v>0</v>
      </c>
      <c r="I12" s="58">
        <f t="shared" si="0"/>
        <v>0</v>
      </c>
      <c r="J12" s="58">
        <f t="shared" si="0"/>
        <v>0</v>
      </c>
      <c r="K12" s="58">
        <f t="shared" si="0"/>
        <v>12860.52</v>
      </c>
      <c r="L12" s="58">
        <f t="shared" si="0"/>
        <v>3601048.9699999997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9"/>
  <sheetViews>
    <sheetView topLeftCell="B16" workbookViewId="0">
      <selection activeCell="B1" sqref="A1:XFD1048576"/>
    </sheetView>
  </sheetViews>
  <sheetFormatPr defaultRowHeight="15" x14ac:dyDescent="0.25"/>
  <cols>
    <col min="1" max="1" width="0" hidden="1" customWidth="1"/>
    <col min="2" max="2" width="12.42578125" customWidth="1"/>
    <col min="3" max="3" width="14.5703125" customWidth="1"/>
    <col min="4" max="4" width="12.85546875" customWidth="1"/>
    <col min="5" max="8" width="14.28515625" customWidth="1"/>
    <col min="9" max="9" width="15.28515625" customWidth="1"/>
    <col min="10" max="11" width="16.28515625" customWidth="1"/>
    <col min="12" max="12" width="13.85546875" customWidth="1"/>
  </cols>
  <sheetData>
    <row r="1" spans="1:12" x14ac:dyDescent="0.25">
      <c r="B1" t="str">
        <f>+A3</f>
        <v>Direct - Active</v>
      </c>
      <c r="C1" s="54" t="s">
        <v>310</v>
      </c>
    </row>
    <row r="2" spans="1:12" x14ac:dyDescent="0.25">
      <c r="A2" t="s">
        <v>122</v>
      </c>
      <c r="B2" t="s">
        <v>297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</row>
    <row r="3" spans="1:12" x14ac:dyDescent="0.25">
      <c r="A3" t="s">
        <v>11</v>
      </c>
      <c r="B3" t="s">
        <v>125</v>
      </c>
      <c r="C3" s="56">
        <v>59400</v>
      </c>
      <c r="D3" s="56">
        <v>0</v>
      </c>
      <c r="E3" s="56">
        <v>0</v>
      </c>
      <c r="F3" s="56">
        <v>45000</v>
      </c>
      <c r="G3" s="56">
        <v>14400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</row>
    <row r="4" spans="1:12" x14ac:dyDescent="0.25">
      <c r="A4" t="s">
        <v>11</v>
      </c>
      <c r="B4" t="s">
        <v>161</v>
      </c>
      <c r="C4" s="56">
        <v>1635149.84</v>
      </c>
      <c r="D4" s="56">
        <v>67625</v>
      </c>
      <c r="E4" s="56">
        <v>153650</v>
      </c>
      <c r="F4" s="56">
        <v>316125</v>
      </c>
      <c r="G4" s="56">
        <v>171150</v>
      </c>
      <c r="H4" s="56">
        <v>715750</v>
      </c>
      <c r="I4" s="56">
        <v>210849.84</v>
      </c>
      <c r="J4" s="56">
        <v>0</v>
      </c>
      <c r="K4" s="56">
        <v>0</v>
      </c>
      <c r="L4" s="56">
        <v>0</v>
      </c>
    </row>
    <row r="5" spans="1:12" x14ac:dyDescent="0.25">
      <c r="A5" t="s">
        <v>11</v>
      </c>
      <c r="B5" t="s">
        <v>12</v>
      </c>
      <c r="C5" s="56">
        <v>13625</v>
      </c>
      <c r="D5" s="56">
        <v>0</v>
      </c>
      <c r="E5" s="56">
        <v>0</v>
      </c>
      <c r="F5" s="56">
        <v>0</v>
      </c>
      <c r="G5" s="56">
        <v>0</v>
      </c>
      <c r="H5" s="56">
        <v>13625</v>
      </c>
      <c r="I5" s="56">
        <v>0</v>
      </c>
      <c r="J5" s="56">
        <v>0</v>
      </c>
      <c r="K5" s="56">
        <v>0</v>
      </c>
      <c r="L5" s="56">
        <v>0</v>
      </c>
    </row>
    <row r="6" spans="1:12" x14ac:dyDescent="0.25">
      <c r="A6" t="s">
        <v>11</v>
      </c>
      <c r="B6" t="s">
        <v>126</v>
      </c>
      <c r="C6" s="56">
        <v>4837099</v>
      </c>
      <c r="D6" s="56">
        <v>136500</v>
      </c>
      <c r="E6" s="56">
        <v>283620</v>
      </c>
      <c r="F6" s="56">
        <v>585945</v>
      </c>
      <c r="G6" s="56">
        <v>261600</v>
      </c>
      <c r="H6" s="56">
        <v>1262250</v>
      </c>
      <c r="I6" s="56">
        <v>1394260</v>
      </c>
      <c r="J6" s="56">
        <v>912924</v>
      </c>
      <c r="K6" s="56">
        <v>0</v>
      </c>
      <c r="L6" s="56">
        <v>0</v>
      </c>
    </row>
    <row r="7" spans="1:12" x14ac:dyDescent="0.25">
      <c r="A7" t="s">
        <v>11</v>
      </c>
      <c r="B7" t="s">
        <v>126</v>
      </c>
      <c r="C7" s="56">
        <v>133500</v>
      </c>
      <c r="D7" s="56">
        <v>133500</v>
      </c>
      <c r="E7" s="56">
        <v>0</v>
      </c>
      <c r="F7" s="56">
        <v>0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</row>
    <row r="8" spans="1:12" x14ac:dyDescent="0.25">
      <c r="A8" t="s">
        <v>11</v>
      </c>
      <c r="B8" t="s">
        <v>13</v>
      </c>
      <c r="C8" s="56">
        <v>4307350</v>
      </c>
      <c r="D8" s="56">
        <v>912190</v>
      </c>
      <c r="E8" s="56">
        <v>1141200</v>
      </c>
      <c r="F8" s="56">
        <v>900410</v>
      </c>
      <c r="G8" s="56">
        <v>686000</v>
      </c>
      <c r="H8" s="56">
        <v>667550</v>
      </c>
      <c r="I8" s="56">
        <v>0</v>
      </c>
      <c r="J8" s="56">
        <v>0</v>
      </c>
      <c r="K8" s="56">
        <v>0</v>
      </c>
      <c r="L8" s="56">
        <v>0</v>
      </c>
    </row>
    <row r="9" spans="1:12" x14ac:dyDescent="0.25">
      <c r="A9" t="s">
        <v>11</v>
      </c>
      <c r="B9" t="s">
        <v>127</v>
      </c>
      <c r="C9" s="56">
        <v>21500</v>
      </c>
      <c r="D9" s="56">
        <v>0</v>
      </c>
      <c r="E9" s="56">
        <v>0</v>
      </c>
      <c r="F9" s="56">
        <v>0</v>
      </c>
      <c r="G9" s="56">
        <v>0</v>
      </c>
      <c r="H9" s="56">
        <v>0</v>
      </c>
      <c r="I9" s="56">
        <v>21500</v>
      </c>
      <c r="J9" s="56">
        <v>0</v>
      </c>
      <c r="K9" s="56">
        <v>0</v>
      </c>
      <c r="L9" s="56">
        <v>0</v>
      </c>
    </row>
    <row r="10" spans="1:12" x14ac:dyDescent="0.25">
      <c r="A10" t="s">
        <v>11</v>
      </c>
      <c r="B10" t="s">
        <v>14</v>
      </c>
      <c r="C10" s="56">
        <v>8815</v>
      </c>
      <c r="D10" s="56">
        <v>0</v>
      </c>
      <c r="E10" s="56">
        <v>0</v>
      </c>
      <c r="F10" s="56">
        <v>0</v>
      </c>
      <c r="G10" s="56">
        <v>0</v>
      </c>
      <c r="H10" s="56">
        <v>3320</v>
      </c>
      <c r="I10" s="56">
        <v>5495</v>
      </c>
      <c r="J10" s="56">
        <v>0</v>
      </c>
      <c r="K10" s="56">
        <v>0</v>
      </c>
      <c r="L10" s="56">
        <v>0</v>
      </c>
    </row>
    <row r="11" spans="1:12" x14ac:dyDescent="0.25">
      <c r="A11" t="s">
        <v>11</v>
      </c>
      <c r="B11" t="s">
        <v>15</v>
      </c>
      <c r="C11" s="56">
        <v>86330</v>
      </c>
      <c r="D11" s="56">
        <v>27230</v>
      </c>
      <c r="E11" s="56">
        <v>59100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</row>
    <row r="12" spans="1:12" x14ac:dyDescent="0.25">
      <c r="A12" t="s">
        <v>11</v>
      </c>
      <c r="B12" t="s">
        <v>16</v>
      </c>
      <c r="C12" s="56">
        <v>367278</v>
      </c>
      <c r="D12" s="56">
        <v>183088</v>
      </c>
      <c r="E12" s="56">
        <v>95800</v>
      </c>
      <c r="F12" s="56">
        <v>0</v>
      </c>
      <c r="G12" s="56">
        <v>88390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</row>
    <row r="13" spans="1:12" x14ac:dyDescent="0.25">
      <c r="A13" t="s">
        <v>11</v>
      </c>
      <c r="B13" t="s">
        <v>128</v>
      </c>
      <c r="C13" s="56">
        <v>92049</v>
      </c>
      <c r="D13" s="56">
        <v>68250</v>
      </c>
      <c r="E13" s="56">
        <v>0</v>
      </c>
      <c r="F13" s="56">
        <v>0</v>
      </c>
      <c r="G13" s="56">
        <v>23799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</row>
    <row r="14" spans="1:12" x14ac:dyDescent="0.25">
      <c r="A14" t="s">
        <v>11</v>
      </c>
      <c r="B14" t="s">
        <v>17</v>
      </c>
      <c r="C14" s="56">
        <v>2754944.52</v>
      </c>
      <c r="D14" s="56">
        <v>0</v>
      </c>
      <c r="E14" s="56">
        <v>225100</v>
      </c>
      <c r="F14" s="56">
        <v>0</v>
      </c>
      <c r="G14" s="56">
        <v>186650</v>
      </c>
      <c r="H14" s="56">
        <v>174300</v>
      </c>
      <c r="I14" s="56">
        <v>1702445</v>
      </c>
      <c r="J14" s="56">
        <v>466449.52</v>
      </c>
      <c r="K14" s="56">
        <v>0</v>
      </c>
      <c r="L14" s="56">
        <v>0</v>
      </c>
    </row>
    <row r="15" spans="1:12" x14ac:dyDescent="0.25">
      <c r="A15" t="s">
        <v>11</v>
      </c>
      <c r="B15" t="s">
        <v>18</v>
      </c>
      <c r="C15" s="56">
        <v>1025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1025</v>
      </c>
      <c r="J15" s="56">
        <v>0</v>
      </c>
      <c r="K15" s="56">
        <v>0</v>
      </c>
      <c r="L15" s="56">
        <v>0</v>
      </c>
    </row>
    <row r="16" spans="1:12" x14ac:dyDescent="0.25">
      <c r="A16" t="s">
        <v>11</v>
      </c>
      <c r="B16" t="s">
        <v>129</v>
      </c>
      <c r="C16" s="56">
        <v>29400</v>
      </c>
      <c r="D16" s="56">
        <v>29400</v>
      </c>
      <c r="E16" s="56"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</row>
    <row r="17" spans="1:12" x14ac:dyDescent="0.25">
      <c r="A17" t="s">
        <v>11</v>
      </c>
      <c r="B17" t="s">
        <v>19</v>
      </c>
      <c r="C17" s="56">
        <v>55445</v>
      </c>
      <c r="D17" s="56">
        <v>55445</v>
      </c>
      <c r="E17" s="56">
        <v>0</v>
      </c>
      <c r="F17" s="56">
        <v>0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</row>
    <row r="18" spans="1:12" x14ac:dyDescent="0.25">
      <c r="A18" t="s">
        <v>11</v>
      </c>
      <c r="B18" t="s">
        <v>20</v>
      </c>
      <c r="C18" s="56">
        <v>3950</v>
      </c>
      <c r="D18" s="56">
        <v>0</v>
      </c>
      <c r="E18" s="56">
        <v>0</v>
      </c>
      <c r="F18" s="56">
        <v>0</v>
      </c>
      <c r="G18" s="56">
        <v>3950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</row>
    <row r="19" spans="1:12" x14ac:dyDescent="0.25">
      <c r="A19" t="s">
        <v>11</v>
      </c>
      <c r="B19" t="s">
        <v>21</v>
      </c>
      <c r="C19" s="56">
        <v>31300</v>
      </c>
      <c r="D19" s="56">
        <v>0</v>
      </c>
      <c r="E19" s="56">
        <v>0</v>
      </c>
      <c r="F19" s="56">
        <v>31300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</row>
    <row r="20" spans="1:12" x14ac:dyDescent="0.25">
      <c r="A20" t="s">
        <v>11</v>
      </c>
      <c r="B20" t="s">
        <v>22</v>
      </c>
      <c r="C20" s="56">
        <v>1280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1280</v>
      </c>
      <c r="J20" s="56">
        <v>0</v>
      </c>
      <c r="K20" s="56">
        <v>0</v>
      </c>
      <c r="L20" s="56">
        <v>0</v>
      </c>
    </row>
    <row r="21" spans="1:12" x14ac:dyDescent="0.25">
      <c r="A21" t="s">
        <v>11</v>
      </c>
      <c r="B21" t="s">
        <v>23</v>
      </c>
      <c r="C21" s="56">
        <v>180</v>
      </c>
      <c r="D21" s="56">
        <v>0</v>
      </c>
      <c r="E21" s="56">
        <v>180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</row>
    <row r="22" spans="1:12" x14ac:dyDescent="0.25">
      <c r="A22" t="s">
        <v>11</v>
      </c>
      <c r="B22" t="s">
        <v>24</v>
      </c>
      <c r="C22" s="56">
        <v>47355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47355</v>
      </c>
      <c r="J22" s="56">
        <v>0</v>
      </c>
      <c r="K22" s="56">
        <v>0</v>
      </c>
      <c r="L22" s="56">
        <v>0</v>
      </c>
    </row>
    <row r="23" spans="1:12" x14ac:dyDescent="0.25">
      <c r="A23" t="s">
        <v>11</v>
      </c>
      <c r="B23" t="s">
        <v>130</v>
      </c>
      <c r="C23" s="56">
        <v>842606</v>
      </c>
      <c r="D23" s="56">
        <v>0</v>
      </c>
      <c r="E23" s="56">
        <v>842606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</row>
    <row r="24" spans="1:12" x14ac:dyDescent="0.25">
      <c r="A24" t="s">
        <v>11</v>
      </c>
      <c r="B24" t="s">
        <v>25</v>
      </c>
      <c r="C24" s="56">
        <v>8185</v>
      </c>
      <c r="D24" s="56">
        <v>0</v>
      </c>
      <c r="E24" s="56">
        <v>0</v>
      </c>
      <c r="F24" s="56">
        <v>0</v>
      </c>
      <c r="G24" s="56">
        <v>8185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</row>
    <row r="25" spans="1:12" x14ac:dyDescent="0.25">
      <c r="A25" t="s">
        <v>11</v>
      </c>
      <c r="B25" t="s">
        <v>26</v>
      </c>
      <c r="C25" s="56">
        <v>56995</v>
      </c>
      <c r="D25" s="56">
        <v>0</v>
      </c>
      <c r="E25" s="56">
        <v>0</v>
      </c>
      <c r="F25" s="56">
        <v>0</v>
      </c>
      <c r="G25" s="56">
        <v>4270</v>
      </c>
      <c r="H25" s="56">
        <v>12315</v>
      </c>
      <c r="I25" s="56">
        <v>40410</v>
      </c>
      <c r="J25" s="56">
        <v>0</v>
      </c>
      <c r="K25" s="56">
        <v>0</v>
      </c>
      <c r="L25" s="56">
        <v>0</v>
      </c>
    </row>
    <row r="26" spans="1:12" x14ac:dyDescent="0.25">
      <c r="A26" t="s">
        <v>11</v>
      </c>
      <c r="B26" t="s">
        <v>28</v>
      </c>
      <c r="C26" s="56">
        <v>62003</v>
      </c>
      <c r="D26" s="56">
        <v>0</v>
      </c>
      <c r="E26" s="56">
        <v>0</v>
      </c>
      <c r="F26" s="56">
        <v>0</v>
      </c>
      <c r="G26" s="56">
        <v>0</v>
      </c>
      <c r="H26" s="56">
        <v>62003</v>
      </c>
      <c r="I26" s="56">
        <v>0</v>
      </c>
      <c r="J26" s="56">
        <v>0</v>
      </c>
      <c r="K26" s="56">
        <v>0</v>
      </c>
      <c r="L26" s="56">
        <v>0</v>
      </c>
    </row>
    <row r="27" spans="1:12" x14ac:dyDescent="0.25">
      <c r="A27" t="s">
        <v>11</v>
      </c>
      <c r="B27" t="s">
        <v>27</v>
      </c>
      <c r="C27" s="56">
        <v>4590</v>
      </c>
      <c r="D27" s="56">
        <v>0</v>
      </c>
      <c r="E27" s="56">
        <v>0</v>
      </c>
      <c r="F27" s="56">
        <v>4590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</row>
    <row r="28" spans="1:12" x14ac:dyDescent="0.25">
      <c r="A28" t="s">
        <v>11</v>
      </c>
      <c r="B28" t="s">
        <v>29</v>
      </c>
      <c r="C28" s="56">
        <v>22780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22780</v>
      </c>
    </row>
    <row r="29" spans="1:12" x14ac:dyDescent="0.25">
      <c r="A29" t="s">
        <v>11</v>
      </c>
      <c r="B29" t="s">
        <v>30</v>
      </c>
      <c r="C29" s="56">
        <v>113005</v>
      </c>
      <c r="D29" s="56">
        <v>0</v>
      </c>
      <c r="E29" s="56">
        <v>0</v>
      </c>
      <c r="F29" s="56">
        <v>0</v>
      </c>
      <c r="G29" s="56">
        <v>0</v>
      </c>
      <c r="H29" s="56">
        <v>112200</v>
      </c>
      <c r="I29" s="56">
        <v>805</v>
      </c>
      <c r="J29" s="56">
        <v>0</v>
      </c>
      <c r="K29" s="56">
        <v>0</v>
      </c>
      <c r="L29" s="56">
        <v>0</v>
      </c>
    </row>
    <row r="30" spans="1:12" x14ac:dyDescent="0.25">
      <c r="A30" t="s">
        <v>11</v>
      </c>
      <c r="B30" t="s">
        <v>31</v>
      </c>
      <c r="C30" s="56">
        <v>795</v>
      </c>
      <c r="D30" s="56">
        <v>0</v>
      </c>
      <c r="E30" s="56">
        <v>0</v>
      </c>
      <c r="F30" s="56">
        <v>0</v>
      </c>
      <c r="G30" s="56">
        <v>0</v>
      </c>
      <c r="H30" s="56">
        <v>795</v>
      </c>
      <c r="I30" s="56">
        <v>0</v>
      </c>
      <c r="J30" s="56">
        <v>0</v>
      </c>
      <c r="K30" s="56">
        <v>0</v>
      </c>
      <c r="L30" s="56">
        <v>0</v>
      </c>
    </row>
    <row r="31" spans="1:12" x14ac:dyDescent="0.25">
      <c r="A31" t="s">
        <v>11</v>
      </c>
      <c r="B31" t="s">
        <v>32</v>
      </c>
      <c r="C31" s="56">
        <v>589294</v>
      </c>
      <c r="D31" s="56">
        <v>0</v>
      </c>
      <c r="E31" s="56">
        <v>0</v>
      </c>
      <c r="F31" s="56">
        <v>415500</v>
      </c>
      <c r="G31" s="56">
        <v>0</v>
      </c>
      <c r="H31" s="56">
        <v>173794</v>
      </c>
      <c r="I31" s="56">
        <v>0</v>
      </c>
      <c r="J31" s="56">
        <v>0</v>
      </c>
      <c r="K31" s="56">
        <v>0</v>
      </c>
      <c r="L31" s="56">
        <v>0</v>
      </c>
    </row>
    <row r="32" spans="1:12" x14ac:dyDescent="0.25">
      <c r="A32" t="s">
        <v>11</v>
      </c>
      <c r="B32" t="s">
        <v>33</v>
      </c>
      <c r="C32" s="56">
        <v>10700</v>
      </c>
      <c r="D32" s="56">
        <v>0</v>
      </c>
      <c r="E32" s="56">
        <v>10700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</row>
    <row r="33" spans="1:12" x14ac:dyDescent="0.25">
      <c r="A33" t="s">
        <v>11</v>
      </c>
      <c r="B33" t="s">
        <v>131</v>
      </c>
      <c r="C33" s="56">
        <v>24151</v>
      </c>
      <c r="D33" s="56">
        <v>0</v>
      </c>
      <c r="E33" s="56">
        <v>0</v>
      </c>
      <c r="F33" s="56">
        <v>0</v>
      </c>
      <c r="G33" s="56">
        <v>24151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</row>
    <row r="34" spans="1:12" x14ac:dyDescent="0.25">
      <c r="A34" t="s">
        <v>11</v>
      </c>
      <c r="B34" t="s">
        <v>106</v>
      </c>
      <c r="C34" s="56">
        <v>1000</v>
      </c>
      <c r="D34" s="56">
        <v>1000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</row>
    <row r="35" spans="1:12" x14ac:dyDescent="0.25">
      <c r="A35" t="s">
        <v>11</v>
      </c>
      <c r="B35" t="s">
        <v>34</v>
      </c>
      <c r="C35" s="56">
        <v>2060</v>
      </c>
      <c r="D35" s="56">
        <v>0</v>
      </c>
      <c r="E35" s="56">
        <v>0</v>
      </c>
      <c r="F35" s="56">
        <v>0</v>
      </c>
      <c r="G35" s="56">
        <v>20</v>
      </c>
      <c r="H35" s="56">
        <v>0</v>
      </c>
      <c r="I35" s="56">
        <v>2040</v>
      </c>
      <c r="J35" s="56">
        <v>0</v>
      </c>
      <c r="K35" s="56">
        <v>0</v>
      </c>
      <c r="L35" s="56">
        <v>0</v>
      </c>
    </row>
    <row r="36" spans="1:12" x14ac:dyDescent="0.25">
      <c r="A36" t="s">
        <v>11</v>
      </c>
      <c r="B36" t="s">
        <v>35</v>
      </c>
      <c r="C36" s="56">
        <v>7705</v>
      </c>
      <c r="D36" s="56">
        <v>0</v>
      </c>
      <c r="E36" s="56">
        <v>0</v>
      </c>
      <c r="F36" s="56">
        <v>7705</v>
      </c>
      <c r="G36" s="56">
        <v>0</v>
      </c>
      <c r="H36" s="56">
        <v>0</v>
      </c>
      <c r="I36" s="56">
        <v>0</v>
      </c>
      <c r="J36" s="56">
        <v>0</v>
      </c>
      <c r="K36" s="56">
        <v>0</v>
      </c>
      <c r="L36" s="56">
        <v>0</v>
      </c>
    </row>
    <row r="37" spans="1:12" x14ac:dyDescent="0.25">
      <c r="A37" t="s">
        <v>11</v>
      </c>
      <c r="B37" t="s">
        <v>40</v>
      </c>
      <c r="C37" s="56">
        <v>605</v>
      </c>
      <c r="D37" s="56">
        <v>0</v>
      </c>
      <c r="E37" s="56">
        <v>0</v>
      </c>
      <c r="F37" s="56">
        <v>0</v>
      </c>
      <c r="G37" s="56">
        <v>0</v>
      </c>
      <c r="H37" s="56">
        <v>605</v>
      </c>
      <c r="I37" s="56">
        <v>0</v>
      </c>
      <c r="J37" s="56">
        <v>0</v>
      </c>
      <c r="K37" s="56">
        <v>0</v>
      </c>
      <c r="L37" s="56">
        <v>0</v>
      </c>
    </row>
    <row r="38" spans="1:12" x14ac:dyDescent="0.25">
      <c r="A38" t="s">
        <v>11</v>
      </c>
      <c r="B38" t="s">
        <v>36</v>
      </c>
      <c r="C38" s="56">
        <v>2025</v>
      </c>
      <c r="D38" s="56">
        <v>0</v>
      </c>
      <c r="E38" s="56">
        <v>0</v>
      </c>
      <c r="F38" s="56">
        <v>2025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0</v>
      </c>
    </row>
    <row r="39" spans="1:12" x14ac:dyDescent="0.25">
      <c r="A39" t="s">
        <v>11</v>
      </c>
      <c r="B39" t="s">
        <v>37</v>
      </c>
      <c r="C39" s="56">
        <v>13775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2600</v>
      </c>
      <c r="L39" s="56">
        <v>11175</v>
      </c>
    </row>
    <row r="40" spans="1:12" x14ac:dyDescent="0.25">
      <c r="A40" t="s">
        <v>11</v>
      </c>
      <c r="B40" t="s">
        <v>38</v>
      </c>
      <c r="C40" s="56">
        <v>5928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5928</v>
      </c>
      <c r="J40" s="56">
        <v>0</v>
      </c>
      <c r="K40" s="56">
        <v>0</v>
      </c>
      <c r="L40" s="56">
        <v>0</v>
      </c>
    </row>
    <row r="41" spans="1:12" x14ac:dyDescent="0.25">
      <c r="A41" t="s">
        <v>11</v>
      </c>
      <c r="B41" t="s">
        <v>39</v>
      </c>
      <c r="C41" s="56">
        <v>2345</v>
      </c>
      <c r="D41" s="56">
        <v>2345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</row>
    <row r="42" spans="1:12" x14ac:dyDescent="0.25">
      <c r="B42" s="55" t="s">
        <v>311</v>
      </c>
      <c r="C42" s="56">
        <f>SUBTOTAL(109,Table11[Pending Bills])</f>
        <v>16257522.359999999</v>
      </c>
      <c r="D42" s="56">
        <f>SUBTOTAL(109,Table11[(&lt; 15 days )])</f>
        <v>1616573</v>
      </c>
      <c r="E42" s="56">
        <f>SUBTOTAL(109,Table11[15 to 30 days])</f>
        <v>2811956</v>
      </c>
      <c r="F42" s="56">
        <f>SUBTOTAL(109,Table11[30 to 45 days])</f>
        <v>2308600</v>
      </c>
      <c r="G42" s="56">
        <f>SUBTOTAL(109,Table11[45 to 60 days])</f>
        <v>1472565</v>
      </c>
      <c r="H42" s="56">
        <f>SUBTOTAL(109,Table11[60 to 90 days])</f>
        <v>3198507</v>
      </c>
      <c r="I42" s="56">
        <f>SUBTOTAL(109,Table11[90 to 180 days])</f>
        <v>3433392.84</v>
      </c>
      <c r="J42" s="56">
        <f>SUBTOTAL(109,Table11[180 to 365 days])</f>
        <v>1379373.52</v>
      </c>
      <c r="K42" s="56">
        <f>SUBTOTAL(109,Table11[365 to 730 days])</f>
        <v>2600</v>
      </c>
      <c r="L42" s="56">
        <f>SUBTOTAL(109,Table11[(&gt; 730 days )])</f>
        <v>33955</v>
      </c>
    </row>
    <row r="44" spans="1:12" x14ac:dyDescent="0.25">
      <c r="B44" t="str">
        <f>+A46</f>
        <v>Direct - Inactive</v>
      </c>
      <c r="C44" s="54" t="s">
        <v>310</v>
      </c>
    </row>
    <row r="45" spans="1:12" x14ac:dyDescent="0.25">
      <c r="A45" t="s">
        <v>122</v>
      </c>
      <c r="B45" t="s">
        <v>297</v>
      </c>
      <c r="C45" t="s">
        <v>0</v>
      </c>
      <c r="D45" t="s">
        <v>1</v>
      </c>
      <c r="E45" t="s">
        <v>2</v>
      </c>
      <c r="F45" t="s">
        <v>3</v>
      </c>
      <c r="G45" t="s">
        <v>4</v>
      </c>
      <c r="H45" t="s">
        <v>5</v>
      </c>
      <c r="I45" t="s">
        <v>6</v>
      </c>
      <c r="J45" t="s">
        <v>7</v>
      </c>
      <c r="K45" t="s">
        <v>8</v>
      </c>
      <c r="L45" t="s">
        <v>9</v>
      </c>
    </row>
    <row r="46" spans="1:12" x14ac:dyDescent="0.25">
      <c r="A46" t="s">
        <v>41</v>
      </c>
      <c r="B46" t="s">
        <v>253</v>
      </c>
      <c r="C46" s="56">
        <v>170371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170371</v>
      </c>
    </row>
    <row r="47" spans="1:12" x14ac:dyDescent="0.25">
      <c r="A47" t="s">
        <v>41</v>
      </c>
      <c r="B47" t="s">
        <v>42</v>
      </c>
      <c r="C47" s="56">
        <v>30300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30300</v>
      </c>
      <c r="L47" s="56">
        <v>0</v>
      </c>
    </row>
    <row r="48" spans="1:12" x14ac:dyDescent="0.25">
      <c r="A48" t="s">
        <v>41</v>
      </c>
      <c r="B48" t="s">
        <v>132</v>
      </c>
      <c r="C48" s="56">
        <v>121200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121200</v>
      </c>
      <c r="J48" s="56">
        <v>0</v>
      </c>
      <c r="K48" s="56">
        <v>0</v>
      </c>
      <c r="L48" s="56">
        <v>0</v>
      </c>
    </row>
    <row r="49" spans="1:12" x14ac:dyDescent="0.25">
      <c r="A49" t="s">
        <v>41</v>
      </c>
      <c r="B49" t="s">
        <v>43</v>
      </c>
      <c r="C49" s="56">
        <v>6570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6570</v>
      </c>
      <c r="L49" s="56">
        <v>0</v>
      </c>
    </row>
    <row r="50" spans="1:12" x14ac:dyDescent="0.25">
      <c r="A50" t="s">
        <v>41</v>
      </c>
      <c r="B50" t="s">
        <v>254</v>
      </c>
      <c r="C50" s="56">
        <v>149739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149739</v>
      </c>
    </row>
    <row r="51" spans="1:12" x14ac:dyDescent="0.25">
      <c r="A51" t="s">
        <v>41</v>
      </c>
      <c r="B51" t="s">
        <v>162</v>
      </c>
      <c r="C51" s="56">
        <v>236276.25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236276.25</v>
      </c>
      <c r="L51" s="56">
        <v>0</v>
      </c>
    </row>
    <row r="52" spans="1:12" x14ac:dyDescent="0.25">
      <c r="A52" t="s">
        <v>41</v>
      </c>
      <c r="B52" t="s">
        <v>44</v>
      </c>
      <c r="C52" s="56">
        <v>104690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76240</v>
      </c>
      <c r="L52" s="56">
        <v>28450</v>
      </c>
    </row>
    <row r="53" spans="1:12" x14ac:dyDescent="0.25">
      <c r="A53" t="s">
        <v>41</v>
      </c>
      <c r="B53" t="s">
        <v>45</v>
      </c>
      <c r="C53" s="56">
        <v>54000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54000</v>
      </c>
    </row>
    <row r="54" spans="1:12" x14ac:dyDescent="0.25">
      <c r="A54" t="s">
        <v>41</v>
      </c>
      <c r="B54" t="s">
        <v>255</v>
      </c>
      <c r="C54" s="56">
        <v>305642.81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305642.81</v>
      </c>
    </row>
    <row r="55" spans="1:12" x14ac:dyDescent="0.25">
      <c r="A55" t="s">
        <v>41</v>
      </c>
      <c r="B55" t="s">
        <v>133</v>
      </c>
      <c r="C55" s="56">
        <v>32650</v>
      </c>
      <c r="D55" s="56">
        <v>0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32650</v>
      </c>
    </row>
    <row r="56" spans="1:12" x14ac:dyDescent="0.25">
      <c r="A56" t="s">
        <v>41</v>
      </c>
      <c r="B56" t="s">
        <v>46</v>
      </c>
      <c r="C56" s="56">
        <v>599850</v>
      </c>
      <c r="D56" s="56">
        <v>0</v>
      </c>
      <c r="E56" s="56">
        <v>0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599850</v>
      </c>
    </row>
    <row r="57" spans="1:12" x14ac:dyDescent="0.25">
      <c r="A57" t="s">
        <v>41</v>
      </c>
      <c r="B57" t="s">
        <v>47</v>
      </c>
      <c r="C57" s="56">
        <v>8911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8911</v>
      </c>
    </row>
    <row r="58" spans="1:12" x14ac:dyDescent="0.25">
      <c r="A58" t="s">
        <v>41</v>
      </c>
      <c r="B58" t="s">
        <v>48</v>
      </c>
      <c r="C58" s="56">
        <v>933158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933158</v>
      </c>
    </row>
    <row r="59" spans="1:12" x14ac:dyDescent="0.25">
      <c r="A59" t="s">
        <v>41</v>
      </c>
      <c r="B59" t="s">
        <v>49</v>
      </c>
      <c r="C59" s="56">
        <v>306533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306533</v>
      </c>
    </row>
    <row r="60" spans="1:12" x14ac:dyDescent="0.25">
      <c r="A60" t="s">
        <v>41</v>
      </c>
      <c r="B60" t="s">
        <v>50</v>
      </c>
      <c r="C60" s="56">
        <v>183720</v>
      </c>
      <c r="D60" s="56">
        <v>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183720</v>
      </c>
    </row>
    <row r="61" spans="1:12" x14ac:dyDescent="0.25">
      <c r="A61" t="s">
        <v>41</v>
      </c>
      <c r="B61" t="s">
        <v>51</v>
      </c>
      <c r="C61" s="56">
        <v>52000</v>
      </c>
      <c r="D61" s="56">
        <v>0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6">
        <v>52000</v>
      </c>
      <c r="K61" s="56">
        <v>0</v>
      </c>
      <c r="L61" s="56">
        <v>0</v>
      </c>
    </row>
    <row r="62" spans="1:12" x14ac:dyDescent="0.25">
      <c r="A62" t="s">
        <v>41</v>
      </c>
      <c r="B62" t="s">
        <v>52</v>
      </c>
      <c r="C62" s="56">
        <v>511820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511820</v>
      </c>
    </row>
    <row r="63" spans="1:12" x14ac:dyDescent="0.25">
      <c r="A63" t="s">
        <v>41</v>
      </c>
      <c r="B63" t="s">
        <v>53</v>
      </c>
      <c r="C63" s="56">
        <v>461812</v>
      </c>
      <c r="D63" s="56">
        <v>0</v>
      </c>
      <c r="E63" s="56">
        <v>0</v>
      </c>
      <c r="F63" s="56">
        <v>0</v>
      </c>
      <c r="G63" s="56">
        <v>0</v>
      </c>
      <c r="H63" s="56">
        <v>0</v>
      </c>
      <c r="I63" s="56">
        <v>0</v>
      </c>
      <c r="J63" s="56">
        <v>0</v>
      </c>
      <c r="K63" s="56">
        <v>0</v>
      </c>
      <c r="L63" s="56">
        <v>461812</v>
      </c>
    </row>
    <row r="64" spans="1:12" x14ac:dyDescent="0.25">
      <c r="A64" t="s">
        <v>41</v>
      </c>
      <c r="B64" t="s">
        <v>258</v>
      </c>
      <c r="C64" s="56">
        <v>261320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261320</v>
      </c>
    </row>
    <row r="65" spans="1:12" x14ac:dyDescent="0.25">
      <c r="A65" t="s">
        <v>41</v>
      </c>
      <c r="B65" t="s">
        <v>54</v>
      </c>
      <c r="C65" s="56">
        <v>900848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900848</v>
      </c>
    </row>
    <row r="66" spans="1:12" x14ac:dyDescent="0.25">
      <c r="A66" t="s">
        <v>41</v>
      </c>
      <c r="B66" t="s">
        <v>55</v>
      </c>
      <c r="C66" s="56">
        <v>1341583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668000</v>
      </c>
      <c r="L66" s="56">
        <v>673583</v>
      </c>
    </row>
    <row r="67" spans="1:12" x14ac:dyDescent="0.25">
      <c r="A67" t="s">
        <v>41</v>
      </c>
      <c r="B67" t="s">
        <v>56</v>
      </c>
      <c r="C67" s="56">
        <v>13280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13280</v>
      </c>
      <c r="L67" s="56">
        <v>0</v>
      </c>
    </row>
    <row r="68" spans="1:12" x14ac:dyDescent="0.25">
      <c r="A68" t="s">
        <v>41</v>
      </c>
      <c r="B68" t="s">
        <v>57</v>
      </c>
      <c r="C68" s="56">
        <v>1365400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1365400</v>
      </c>
    </row>
    <row r="69" spans="1:12" x14ac:dyDescent="0.25">
      <c r="A69" t="s">
        <v>41</v>
      </c>
      <c r="B69" t="s">
        <v>57</v>
      </c>
      <c r="C69" s="56">
        <v>753532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753532</v>
      </c>
    </row>
    <row r="70" spans="1:12" x14ac:dyDescent="0.25">
      <c r="A70" t="s">
        <v>41</v>
      </c>
      <c r="B70" t="s">
        <v>61</v>
      </c>
      <c r="C70" s="56">
        <v>1639250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1639250</v>
      </c>
    </row>
    <row r="71" spans="1:12" x14ac:dyDescent="0.25">
      <c r="A71" t="s">
        <v>41</v>
      </c>
      <c r="B71" t="s">
        <v>58</v>
      </c>
      <c r="C71" s="56">
        <v>131750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106925</v>
      </c>
      <c r="J71" s="56">
        <v>0</v>
      </c>
      <c r="K71" s="56">
        <v>0</v>
      </c>
      <c r="L71" s="56">
        <v>24825</v>
      </c>
    </row>
    <row r="72" spans="1:12" x14ac:dyDescent="0.25">
      <c r="A72" t="s">
        <v>41</v>
      </c>
      <c r="B72" t="s">
        <v>59</v>
      </c>
      <c r="C72" s="56">
        <v>3222982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3222982</v>
      </c>
    </row>
    <row r="73" spans="1:12" x14ac:dyDescent="0.25">
      <c r="A73" t="s">
        <v>41</v>
      </c>
      <c r="B73" t="s">
        <v>60</v>
      </c>
      <c r="C73" s="56">
        <v>296940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296940</v>
      </c>
    </row>
    <row r="74" spans="1:12" x14ac:dyDescent="0.25">
      <c r="A74" t="s">
        <v>41</v>
      </c>
      <c r="B74" t="s">
        <v>62</v>
      </c>
      <c r="C74" s="56">
        <v>53935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53935</v>
      </c>
      <c r="L74" s="56">
        <v>0</v>
      </c>
    </row>
    <row r="75" spans="1:12" x14ac:dyDescent="0.25">
      <c r="A75" t="s">
        <v>41</v>
      </c>
      <c r="B75" t="s">
        <v>261</v>
      </c>
      <c r="C75" s="56">
        <v>117261</v>
      </c>
      <c r="D75" s="56">
        <v>0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117261</v>
      </c>
    </row>
    <row r="76" spans="1:12" x14ac:dyDescent="0.25">
      <c r="A76" t="s">
        <v>41</v>
      </c>
      <c r="B76" t="s">
        <v>63</v>
      </c>
      <c r="C76" s="56">
        <v>950</v>
      </c>
      <c r="D76" s="56">
        <v>0</v>
      </c>
      <c r="E76" s="56">
        <v>0</v>
      </c>
      <c r="F76" s="56">
        <v>0</v>
      </c>
      <c r="G76" s="56">
        <v>0</v>
      </c>
      <c r="H76" s="56">
        <v>0</v>
      </c>
      <c r="I76" s="56">
        <v>0</v>
      </c>
      <c r="J76" s="56">
        <v>950</v>
      </c>
      <c r="K76" s="56">
        <v>0</v>
      </c>
      <c r="L76" s="56">
        <v>0</v>
      </c>
    </row>
    <row r="77" spans="1:12" x14ac:dyDescent="0.25">
      <c r="A77" t="s">
        <v>41</v>
      </c>
      <c r="B77" t="s">
        <v>170</v>
      </c>
      <c r="C77" s="56">
        <v>335497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335497</v>
      </c>
    </row>
    <row r="78" spans="1:12" x14ac:dyDescent="0.25">
      <c r="A78" t="s">
        <v>41</v>
      </c>
      <c r="B78" t="s">
        <v>64</v>
      </c>
      <c r="C78" s="56">
        <v>4350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4350</v>
      </c>
      <c r="K78" s="56">
        <v>0</v>
      </c>
      <c r="L78" s="56">
        <v>0</v>
      </c>
    </row>
    <row r="79" spans="1:12" x14ac:dyDescent="0.25">
      <c r="A79" t="s">
        <v>41</v>
      </c>
      <c r="B79" t="s">
        <v>65</v>
      </c>
      <c r="C79" s="56">
        <v>2000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385</v>
      </c>
      <c r="J79" s="56">
        <v>1615</v>
      </c>
      <c r="K79" s="56">
        <v>0</v>
      </c>
      <c r="L79" s="56">
        <v>0</v>
      </c>
    </row>
    <row r="80" spans="1:12" x14ac:dyDescent="0.25">
      <c r="A80" t="s">
        <v>41</v>
      </c>
      <c r="B80" t="s">
        <v>134</v>
      </c>
      <c r="C80" s="56">
        <v>94800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94800</v>
      </c>
    </row>
    <row r="81" spans="1:12" x14ac:dyDescent="0.25">
      <c r="A81" t="s">
        <v>41</v>
      </c>
      <c r="B81" t="s">
        <v>66</v>
      </c>
      <c r="C81" s="56">
        <v>594147.4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594147.4</v>
      </c>
    </row>
    <row r="82" spans="1:12" x14ac:dyDescent="0.25">
      <c r="A82" t="s">
        <v>41</v>
      </c>
      <c r="B82" t="s">
        <v>67</v>
      </c>
      <c r="C82" s="56">
        <v>864426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864426</v>
      </c>
      <c r="K82" s="56">
        <v>0</v>
      </c>
      <c r="L82" s="56">
        <v>0</v>
      </c>
    </row>
    <row r="83" spans="1:12" x14ac:dyDescent="0.25">
      <c r="A83" t="s">
        <v>41</v>
      </c>
      <c r="B83" t="s">
        <v>293</v>
      </c>
      <c r="C83" s="56">
        <v>1874174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1874174</v>
      </c>
    </row>
    <row r="84" spans="1:12" x14ac:dyDescent="0.25">
      <c r="A84" t="s">
        <v>41</v>
      </c>
      <c r="B84" t="s">
        <v>263</v>
      </c>
      <c r="C84" s="56">
        <v>40369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40369</v>
      </c>
    </row>
    <row r="85" spans="1:12" x14ac:dyDescent="0.25">
      <c r="A85" t="s">
        <v>41</v>
      </c>
      <c r="B85" t="s">
        <v>68</v>
      </c>
      <c r="C85" s="56">
        <v>36700</v>
      </c>
      <c r="D85" s="56">
        <v>0</v>
      </c>
      <c r="E85" s="56">
        <v>0</v>
      </c>
      <c r="F85" s="56">
        <v>0</v>
      </c>
      <c r="G85" s="56">
        <v>0</v>
      </c>
      <c r="H85" s="56">
        <v>0</v>
      </c>
      <c r="I85" s="56">
        <v>0</v>
      </c>
      <c r="J85" s="56">
        <v>0</v>
      </c>
      <c r="K85" s="56">
        <v>0</v>
      </c>
      <c r="L85" s="56">
        <v>36700</v>
      </c>
    </row>
    <row r="86" spans="1:12" x14ac:dyDescent="0.25">
      <c r="A86" t="s">
        <v>41</v>
      </c>
      <c r="B86" t="s">
        <v>71</v>
      </c>
      <c r="C86" s="56">
        <v>101265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0</v>
      </c>
      <c r="J86" s="56">
        <v>0</v>
      </c>
      <c r="K86" s="56">
        <v>0</v>
      </c>
      <c r="L86" s="56">
        <v>101265</v>
      </c>
    </row>
    <row r="87" spans="1:12" x14ac:dyDescent="0.25">
      <c r="A87" t="s">
        <v>41</v>
      </c>
      <c r="B87" t="s">
        <v>69</v>
      </c>
      <c r="C87" s="56">
        <v>76200</v>
      </c>
      <c r="D87" s="56">
        <v>0</v>
      </c>
      <c r="E87" s="56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76200</v>
      </c>
    </row>
    <row r="88" spans="1:12" x14ac:dyDescent="0.25">
      <c r="A88" t="s">
        <v>41</v>
      </c>
      <c r="B88" t="s">
        <v>70</v>
      </c>
      <c r="C88" s="56">
        <v>317430</v>
      </c>
      <c r="D88" s="56">
        <v>0</v>
      </c>
      <c r="E88" s="56">
        <v>0</v>
      </c>
      <c r="F88" s="56">
        <v>0</v>
      </c>
      <c r="G88" s="56">
        <v>0</v>
      </c>
      <c r="H88" s="56">
        <v>0</v>
      </c>
      <c r="I88" s="56">
        <v>0</v>
      </c>
      <c r="J88" s="56">
        <v>0</v>
      </c>
      <c r="K88" s="56">
        <v>0</v>
      </c>
      <c r="L88" s="56">
        <v>317430</v>
      </c>
    </row>
    <row r="89" spans="1:12" x14ac:dyDescent="0.25">
      <c r="A89" t="s">
        <v>41</v>
      </c>
      <c r="B89" t="s">
        <v>72</v>
      </c>
      <c r="C89" s="56">
        <v>4000</v>
      </c>
      <c r="D89" s="56">
        <v>0</v>
      </c>
      <c r="E89" s="56">
        <v>0</v>
      </c>
      <c r="F89" s="56">
        <v>0</v>
      </c>
      <c r="G89" s="56">
        <v>0</v>
      </c>
      <c r="H89" s="56">
        <v>0</v>
      </c>
      <c r="I89" s="56">
        <v>0</v>
      </c>
      <c r="J89" s="56">
        <v>0</v>
      </c>
      <c r="K89" s="56">
        <v>4000</v>
      </c>
      <c r="L89" s="56">
        <v>0</v>
      </c>
    </row>
    <row r="90" spans="1:12" x14ac:dyDescent="0.25">
      <c r="A90" t="s">
        <v>41</v>
      </c>
      <c r="B90" t="s">
        <v>73</v>
      </c>
      <c r="C90" s="56">
        <v>496253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496253</v>
      </c>
    </row>
    <row r="91" spans="1:12" x14ac:dyDescent="0.25">
      <c r="A91" t="s">
        <v>41</v>
      </c>
      <c r="B91" t="s">
        <v>74</v>
      </c>
      <c r="C91" s="56">
        <v>2610248</v>
      </c>
      <c r="D91" s="56">
        <v>0</v>
      </c>
      <c r="E91" s="56">
        <v>0</v>
      </c>
      <c r="F91" s="56">
        <v>0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2610248</v>
      </c>
    </row>
    <row r="92" spans="1:12" x14ac:dyDescent="0.25">
      <c r="A92" t="s">
        <v>41</v>
      </c>
      <c r="B92" t="s">
        <v>75</v>
      </c>
      <c r="C92" s="56">
        <v>528500</v>
      </c>
      <c r="D92" s="56">
        <v>0</v>
      </c>
      <c r="E92" s="56">
        <v>0</v>
      </c>
      <c r="F92" s="56">
        <v>0</v>
      </c>
      <c r="G92" s="56">
        <v>0</v>
      </c>
      <c r="H92" s="56">
        <v>0</v>
      </c>
      <c r="I92" s="56">
        <v>0</v>
      </c>
      <c r="J92" s="56">
        <v>0</v>
      </c>
      <c r="K92" s="56">
        <v>0</v>
      </c>
      <c r="L92" s="56">
        <v>528500</v>
      </c>
    </row>
    <row r="93" spans="1:12" x14ac:dyDescent="0.25">
      <c r="A93" t="s">
        <v>41</v>
      </c>
      <c r="B93" t="s">
        <v>135</v>
      </c>
      <c r="C93" s="56">
        <v>138888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138888</v>
      </c>
      <c r="K93" s="56">
        <v>0</v>
      </c>
      <c r="L93" s="56">
        <v>0</v>
      </c>
    </row>
    <row r="94" spans="1:12" x14ac:dyDescent="0.25">
      <c r="A94" t="s">
        <v>41</v>
      </c>
      <c r="B94" t="s">
        <v>76</v>
      </c>
      <c r="C94" s="56">
        <v>688177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688177</v>
      </c>
    </row>
    <row r="95" spans="1:12" x14ac:dyDescent="0.25">
      <c r="A95" t="s">
        <v>41</v>
      </c>
      <c r="B95" t="s">
        <v>77</v>
      </c>
      <c r="C95" s="56">
        <v>23175</v>
      </c>
      <c r="D95" s="56">
        <v>0</v>
      </c>
      <c r="E95" s="56">
        <v>0</v>
      </c>
      <c r="F95" s="56">
        <v>0</v>
      </c>
      <c r="G95" s="56">
        <v>0</v>
      </c>
      <c r="H95" s="56">
        <v>0</v>
      </c>
      <c r="I95" s="56">
        <v>0</v>
      </c>
      <c r="J95" s="56">
        <v>0</v>
      </c>
      <c r="K95" s="56">
        <v>23175</v>
      </c>
      <c r="L95" s="56">
        <v>0</v>
      </c>
    </row>
    <row r="96" spans="1:12" x14ac:dyDescent="0.25">
      <c r="A96" t="s">
        <v>41</v>
      </c>
      <c r="B96" t="s">
        <v>21</v>
      </c>
      <c r="C96" s="56">
        <v>1700</v>
      </c>
      <c r="D96" s="56">
        <v>0</v>
      </c>
      <c r="E96" s="56">
        <v>0</v>
      </c>
      <c r="F96" s="56">
        <v>0</v>
      </c>
      <c r="G96" s="56">
        <v>0</v>
      </c>
      <c r="H96" s="56">
        <v>0</v>
      </c>
      <c r="I96" s="56">
        <v>0</v>
      </c>
      <c r="J96" s="56">
        <v>0</v>
      </c>
      <c r="K96" s="56">
        <v>1700</v>
      </c>
      <c r="L96" s="56">
        <v>0</v>
      </c>
    </row>
    <row r="97" spans="1:12" x14ac:dyDescent="0.25">
      <c r="A97" t="s">
        <v>41</v>
      </c>
      <c r="B97" t="s">
        <v>78</v>
      </c>
      <c r="C97" s="56">
        <v>47200</v>
      </c>
      <c r="D97" s="56">
        <v>0</v>
      </c>
      <c r="E97" s="56">
        <v>0</v>
      </c>
      <c r="F97" s="56">
        <v>0</v>
      </c>
      <c r="G97" s="56">
        <v>0</v>
      </c>
      <c r="H97" s="56">
        <v>0</v>
      </c>
      <c r="I97" s="56">
        <v>0</v>
      </c>
      <c r="J97" s="56">
        <v>0</v>
      </c>
      <c r="K97" s="56">
        <v>0</v>
      </c>
      <c r="L97" s="56">
        <v>47200</v>
      </c>
    </row>
    <row r="98" spans="1:12" x14ac:dyDescent="0.25">
      <c r="A98" t="s">
        <v>41</v>
      </c>
      <c r="B98" t="s">
        <v>79</v>
      </c>
      <c r="C98" s="56">
        <v>45014</v>
      </c>
      <c r="D98" s="56">
        <v>0</v>
      </c>
      <c r="E98" s="56">
        <v>0</v>
      </c>
      <c r="F98" s="56">
        <v>0</v>
      </c>
      <c r="G98" s="56">
        <v>0</v>
      </c>
      <c r="H98" s="56">
        <v>0</v>
      </c>
      <c r="I98" s="56">
        <v>0</v>
      </c>
      <c r="J98" s="56">
        <v>0</v>
      </c>
      <c r="K98" s="56">
        <v>0</v>
      </c>
      <c r="L98" s="56">
        <v>45014</v>
      </c>
    </row>
    <row r="99" spans="1:12" x14ac:dyDescent="0.25">
      <c r="A99" t="s">
        <v>41</v>
      </c>
      <c r="B99" t="s">
        <v>136</v>
      </c>
      <c r="C99" s="56">
        <v>455999</v>
      </c>
      <c r="D99" s="56">
        <v>0</v>
      </c>
      <c r="E99" s="56">
        <v>0</v>
      </c>
      <c r="F99" s="56">
        <v>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455999</v>
      </c>
    </row>
    <row r="100" spans="1:12" x14ac:dyDescent="0.25">
      <c r="A100" t="s">
        <v>41</v>
      </c>
      <c r="B100" t="s">
        <v>80</v>
      </c>
      <c r="C100" s="56">
        <v>51000</v>
      </c>
      <c r="D100" s="56">
        <v>0</v>
      </c>
      <c r="E100" s="56">
        <v>0</v>
      </c>
      <c r="F100" s="56">
        <v>0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51000</v>
      </c>
    </row>
    <row r="101" spans="1:12" x14ac:dyDescent="0.25">
      <c r="A101" t="s">
        <v>41</v>
      </c>
      <c r="B101" t="s">
        <v>137</v>
      </c>
      <c r="C101" s="56">
        <v>66297</v>
      </c>
      <c r="D101" s="56">
        <v>0</v>
      </c>
      <c r="E101" s="56">
        <v>0</v>
      </c>
      <c r="F101" s="56">
        <v>0</v>
      </c>
      <c r="G101" s="56">
        <v>0</v>
      </c>
      <c r="H101" s="56">
        <v>0</v>
      </c>
      <c r="I101" s="56">
        <v>0</v>
      </c>
      <c r="J101" s="56">
        <v>0</v>
      </c>
      <c r="K101" s="56">
        <v>0</v>
      </c>
      <c r="L101" s="56">
        <v>66297</v>
      </c>
    </row>
    <row r="102" spans="1:12" x14ac:dyDescent="0.25">
      <c r="A102" t="s">
        <v>41</v>
      </c>
      <c r="B102" t="s">
        <v>199</v>
      </c>
      <c r="C102" s="56">
        <v>46500</v>
      </c>
      <c r="D102" s="56">
        <v>0</v>
      </c>
      <c r="E102" s="56">
        <v>0</v>
      </c>
      <c r="F102" s="56">
        <v>0</v>
      </c>
      <c r="G102" s="56">
        <v>0</v>
      </c>
      <c r="H102" s="56">
        <v>0</v>
      </c>
      <c r="I102" s="56">
        <v>0</v>
      </c>
      <c r="J102" s="56">
        <v>0</v>
      </c>
      <c r="K102" s="56">
        <v>1316</v>
      </c>
      <c r="L102" s="56">
        <v>45184</v>
      </c>
    </row>
    <row r="103" spans="1:12" x14ac:dyDescent="0.25">
      <c r="A103" t="s">
        <v>41</v>
      </c>
      <c r="B103" t="s">
        <v>200</v>
      </c>
      <c r="C103" s="56">
        <v>5780</v>
      </c>
      <c r="D103" s="56">
        <v>0</v>
      </c>
      <c r="E103" s="56">
        <v>0</v>
      </c>
      <c r="F103" s="56">
        <v>0</v>
      </c>
      <c r="G103" s="56">
        <v>0</v>
      </c>
      <c r="H103" s="56">
        <v>0</v>
      </c>
      <c r="I103" s="56">
        <v>0</v>
      </c>
      <c r="J103" s="56">
        <v>0</v>
      </c>
      <c r="K103" s="56">
        <v>5780</v>
      </c>
      <c r="L103" s="56">
        <v>0</v>
      </c>
    </row>
    <row r="104" spans="1:12" x14ac:dyDescent="0.25">
      <c r="A104" t="s">
        <v>41</v>
      </c>
      <c r="B104" t="s">
        <v>81</v>
      </c>
      <c r="C104" s="56">
        <v>235925</v>
      </c>
      <c r="D104" s="56">
        <v>0</v>
      </c>
      <c r="E104" s="56">
        <v>0</v>
      </c>
      <c r="F104" s="56">
        <v>0</v>
      </c>
      <c r="G104" s="56">
        <v>0</v>
      </c>
      <c r="H104" s="56">
        <v>0</v>
      </c>
      <c r="I104" s="56">
        <v>0</v>
      </c>
      <c r="J104" s="56">
        <v>0</v>
      </c>
      <c r="K104" s="56">
        <v>0</v>
      </c>
      <c r="L104" s="56">
        <v>235925</v>
      </c>
    </row>
    <row r="105" spans="1:12" x14ac:dyDescent="0.25">
      <c r="A105" t="s">
        <v>41</v>
      </c>
      <c r="B105" t="s">
        <v>82</v>
      </c>
      <c r="C105" s="56">
        <v>755000</v>
      </c>
      <c r="D105" s="56">
        <v>0</v>
      </c>
      <c r="E105" s="56">
        <v>0</v>
      </c>
      <c r="F105" s="56">
        <v>0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755000</v>
      </c>
    </row>
    <row r="106" spans="1:12" x14ac:dyDescent="0.25">
      <c r="A106" t="s">
        <v>41</v>
      </c>
      <c r="B106" t="s">
        <v>83</v>
      </c>
      <c r="C106" s="56">
        <v>63075</v>
      </c>
      <c r="D106" s="56">
        <v>0</v>
      </c>
      <c r="E106" s="56">
        <v>0</v>
      </c>
      <c r="F106" s="56">
        <v>0</v>
      </c>
      <c r="G106" s="56">
        <v>0</v>
      </c>
      <c r="H106" s="56">
        <v>0</v>
      </c>
      <c r="I106" s="56">
        <v>0</v>
      </c>
      <c r="J106" s="56">
        <v>0</v>
      </c>
      <c r="K106" s="56">
        <v>48450</v>
      </c>
      <c r="L106" s="56">
        <v>14625</v>
      </c>
    </row>
    <row r="107" spans="1:12" x14ac:dyDescent="0.25">
      <c r="A107" t="s">
        <v>41</v>
      </c>
      <c r="B107" t="s">
        <v>84</v>
      </c>
      <c r="C107" s="56">
        <v>14160</v>
      </c>
      <c r="D107" s="56">
        <v>0</v>
      </c>
      <c r="E107" s="56">
        <v>0</v>
      </c>
      <c r="F107" s="56">
        <v>0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14160</v>
      </c>
    </row>
    <row r="108" spans="1:12" x14ac:dyDescent="0.25">
      <c r="A108" t="s">
        <v>41</v>
      </c>
      <c r="B108" t="s">
        <v>85</v>
      </c>
      <c r="C108" s="56">
        <v>3940</v>
      </c>
      <c r="D108" s="56">
        <v>0</v>
      </c>
      <c r="E108" s="56">
        <v>0</v>
      </c>
      <c r="F108" s="56">
        <v>0</v>
      </c>
      <c r="G108" s="56">
        <v>0</v>
      </c>
      <c r="H108" s="56">
        <v>0</v>
      </c>
      <c r="I108" s="56">
        <v>3940</v>
      </c>
      <c r="J108" s="56">
        <v>0</v>
      </c>
      <c r="K108" s="56">
        <v>0</v>
      </c>
      <c r="L108" s="56">
        <v>0</v>
      </c>
    </row>
    <row r="109" spans="1:12" x14ac:dyDescent="0.25">
      <c r="A109" t="s">
        <v>41</v>
      </c>
      <c r="B109" t="s">
        <v>86</v>
      </c>
      <c r="C109" s="56">
        <v>24960</v>
      </c>
      <c r="D109" s="56">
        <v>0</v>
      </c>
      <c r="E109" s="56">
        <v>0</v>
      </c>
      <c r="F109" s="56">
        <v>0</v>
      </c>
      <c r="G109" s="56">
        <v>0</v>
      </c>
      <c r="H109" s="56">
        <v>0</v>
      </c>
      <c r="I109" s="56">
        <v>0</v>
      </c>
      <c r="J109" s="56">
        <v>0</v>
      </c>
      <c r="K109" s="56">
        <v>0</v>
      </c>
      <c r="L109" s="56">
        <v>24960</v>
      </c>
    </row>
    <row r="110" spans="1:12" x14ac:dyDescent="0.25">
      <c r="A110" t="s">
        <v>41</v>
      </c>
      <c r="B110" t="s">
        <v>138</v>
      </c>
      <c r="C110" s="56">
        <v>347500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347500</v>
      </c>
    </row>
    <row r="111" spans="1:12" x14ac:dyDescent="0.25">
      <c r="A111" t="s">
        <v>41</v>
      </c>
      <c r="B111" t="s">
        <v>87</v>
      </c>
      <c r="C111" s="56">
        <v>119005.51</v>
      </c>
      <c r="D111" s="56">
        <v>0</v>
      </c>
      <c r="E111" s="56">
        <v>0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119005.51</v>
      </c>
    </row>
    <row r="112" spans="1:12" x14ac:dyDescent="0.25">
      <c r="A112" t="s">
        <v>41</v>
      </c>
      <c r="B112" t="s">
        <v>139</v>
      </c>
      <c r="C112" s="56">
        <v>414295</v>
      </c>
      <c r="D112" s="56">
        <v>0</v>
      </c>
      <c r="E112" s="56">
        <v>0</v>
      </c>
      <c r="F112" s="56">
        <v>0</v>
      </c>
      <c r="G112" s="56">
        <v>0</v>
      </c>
      <c r="H112" s="56">
        <v>0</v>
      </c>
      <c r="I112" s="56">
        <v>0</v>
      </c>
      <c r="J112" s="56">
        <v>0</v>
      </c>
      <c r="K112" s="56">
        <v>0</v>
      </c>
      <c r="L112" s="56">
        <v>414295</v>
      </c>
    </row>
    <row r="113" spans="1:12" x14ac:dyDescent="0.25">
      <c r="A113" t="s">
        <v>41</v>
      </c>
      <c r="B113" t="s">
        <v>92</v>
      </c>
      <c r="C113" s="56">
        <v>653616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653616</v>
      </c>
    </row>
    <row r="114" spans="1:12" x14ac:dyDescent="0.25">
      <c r="A114" t="s">
        <v>41</v>
      </c>
      <c r="B114" t="s">
        <v>96</v>
      </c>
      <c r="C114" s="56">
        <v>223000</v>
      </c>
      <c r="D114" s="56">
        <v>0</v>
      </c>
      <c r="E114" s="56">
        <v>0</v>
      </c>
      <c r="F114" s="56">
        <v>0</v>
      </c>
      <c r="G114" s="56">
        <v>0</v>
      </c>
      <c r="H114" s="56">
        <v>0</v>
      </c>
      <c r="I114" s="56">
        <v>0</v>
      </c>
      <c r="J114" s="56">
        <v>0</v>
      </c>
      <c r="K114" s="56">
        <v>0</v>
      </c>
      <c r="L114" s="56">
        <v>223000</v>
      </c>
    </row>
    <row r="115" spans="1:12" x14ac:dyDescent="0.25">
      <c r="A115" t="s">
        <v>41</v>
      </c>
      <c r="B115" t="s">
        <v>93</v>
      </c>
      <c r="C115" s="56">
        <v>1304929</v>
      </c>
      <c r="D115" s="56">
        <v>0</v>
      </c>
      <c r="E115" s="56">
        <v>0</v>
      </c>
      <c r="F115" s="56">
        <v>0</v>
      </c>
      <c r="G115" s="56">
        <v>0</v>
      </c>
      <c r="H115" s="56">
        <v>0</v>
      </c>
      <c r="I115" s="56">
        <v>0</v>
      </c>
      <c r="J115" s="56">
        <v>0</v>
      </c>
      <c r="K115" s="56">
        <v>0</v>
      </c>
      <c r="L115" s="56">
        <v>1304929</v>
      </c>
    </row>
    <row r="116" spans="1:12" x14ac:dyDescent="0.25">
      <c r="A116" t="s">
        <v>41</v>
      </c>
      <c r="B116" t="s">
        <v>88</v>
      </c>
      <c r="C116" s="56">
        <v>215059</v>
      </c>
      <c r="D116" s="56">
        <v>0</v>
      </c>
      <c r="E116" s="56">
        <v>0</v>
      </c>
      <c r="F116" s="56">
        <v>0</v>
      </c>
      <c r="G116" s="56">
        <v>0</v>
      </c>
      <c r="H116" s="56">
        <v>0</v>
      </c>
      <c r="I116" s="56">
        <v>0</v>
      </c>
      <c r="J116" s="56">
        <v>0</v>
      </c>
      <c r="K116" s="56">
        <v>0</v>
      </c>
      <c r="L116" s="56">
        <v>215059</v>
      </c>
    </row>
    <row r="117" spans="1:12" x14ac:dyDescent="0.25">
      <c r="A117" t="s">
        <v>41</v>
      </c>
      <c r="B117" t="s">
        <v>89</v>
      </c>
      <c r="C117" s="56">
        <v>1330</v>
      </c>
      <c r="D117" s="56">
        <v>0</v>
      </c>
      <c r="E117" s="56">
        <v>0</v>
      </c>
      <c r="F117" s="56">
        <v>0</v>
      </c>
      <c r="G117" s="56">
        <v>0</v>
      </c>
      <c r="H117" s="56">
        <v>0</v>
      </c>
      <c r="I117" s="56">
        <v>1330</v>
      </c>
      <c r="J117" s="56">
        <v>0</v>
      </c>
      <c r="K117" s="56">
        <v>0</v>
      </c>
      <c r="L117" s="56">
        <v>0</v>
      </c>
    </row>
    <row r="118" spans="1:12" x14ac:dyDescent="0.25">
      <c r="A118" t="s">
        <v>41</v>
      </c>
      <c r="B118" t="s">
        <v>140</v>
      </c>
      <c r="C118" s="56">
        <v>94150</v>
      </c>
      <c r="D118" s="56">
        <v>0</v>
      </c>
      <c r="E118" s="56">
        <v>0</v>
      </c>
      <c r="F118" s="56">
        <v>0</v>
      </c>
      <c r="G118" s="56">
        <v>0</v>
      </c>
      <c r="H118" s="56">
        <v>0</v>
      </c>
      <c r="I118" s="56">
        <v>0</v>
      </c>
      <c r="J118" s="56">
        <v>0</v>
      </c>
      <c r="K118" s="56">
        <v>0</v>
      </c>
      <c r="L118" s="56">
        <v>94150</v>
      </c>
    </row>
    <row r="119" spans="1:12" x14ac:dyDescent="0.25">
      <c r="A119" t="s">
        <v>41</v>
      </c>
      <c r="B119" t="s">
        <v>90</v>
      </c>
      <c r="C119" s="56">
        <v>241849</v>
      </c>
      <c r="D119" s="56">
        <v>0</v>
      </c>
      <c r="E119" s="56">
        <v>0</v>
      </c>
      <c r="F119" s="56">
        <v>0</v>
      </c>
      <c r="G119" s="56">
        <v>0</v>
      </c>
      <c r="H119" s="56">
        <v>0</v>
      </c>
      <c r="I119" s="56">
        <v>0</v>
      </c>
      <c r="J119" s="56">
        <v>0</v>
      </c>
      <c r="K119" s="56">
        <v>0</v>
      </c>
      <c r="L119" s="56">
        <v>241849</v>
      </c>
    </row>
    <row r="120" spans="1:12" x14ac:dyDescent="0.25">
      <c r="A120" t="s">
        <v>41</v>
      </c>
      <c r="B120" t="s">
        <v>91</v>
      </c>
      <c r="C120" s="56">
        <v>356899</v>
      </c>
      <c r="D120" s="56">
        <v>0</v>
      </c>
      <c r="E120" s="56">
        <v>0</v>
      </c>
      <c r="F120" s="56">
        <v>0</v>
      </c>
      <c r="G120" s="56">
        <v>0</v>
      </c>
      <c r="H120" s="56">
        <v>0</v>
      </c>
      <c r="I120" s="56">
        <v>0</v>
      </c>
      <c r="J120" s="56">
        <v>0</v>
      </c>
      <c r="K120" s="56">
        <v>0</v>
      </c>
      <c r="L120" s="56">
        <v>356899</v>
      </c>
    </row>
    <row r="121" spans="1:12" x14ac:dyDescent="0.25">
      <c r="A121" t="s">
        <v>41</v>
      </c>
      <c r="B121" t="s">
        <v>141</v>
      </c>
      <c r="C121" s="56">
        <v>7750</v>
      </c>
      <c r="D121" s="56">
        <v>0</v>
      </c>
      <c r="E121" s="56">
        <v>0</v>
      </c>
      <c r="F121" s="56">
        <v>0</v>
      </c>
      <c r="G121" s="56">
        <v>0</v>
      </c>
      <c r="H121" s="56">
        <v>0</v>
      </c>
      <c r="I121" s="56">
        <v>0</v>
      </c>
      <c r="J121" s="56">
        <v>0</v>
      </c>
      <c r="K121" s="56">
        <v>0</v>
      </c>
      <c r="L121" s="56">
        <v>7750</v>
      </c>
    </row>
    <row r="122" spans="1:12" x14ac:dyDescent="0.25">
      <c r="A122" t="s">
        <v>41</v>
      </c>
      <c r="B122" t="s">
        <v>184</v>
      </c>
      <c r="C122" s="56">
        <v>75494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75494</v>
      </c>
    </row>
    <row r="123" spans="1:12" x14ac:dyDescent="0.25">
      <c r="A123" t="s">
        <v>41</v>
      </c>
      <c r="B123" t="s">
        <v>142</v>
      </c>
      <c r="C123" s="56">
        <v>56826</v>
      </c>
      <c r="D123" s="56">
        <v>0</v>
      </c>
      <c r="E123" s="56">
        <v>0</v>
      </c>
      <c r="F123" s="56">
        <v>0</v>
      </c>
      <c r="G123" s="56">
        <v>0</v>
      </c>
      <c r="H123" s="56">
        <v>0</v>
      </c>
      <c r="I123" s="56">
        <v>0</v>
      </c>
      <c r="J123" s="56">
        <v>0</v>
      </c>
      <c r="K123" s="56">
        <v>56826</v>
      </c>
      <c r="L123" s="56">
        <v>0</v>
      </c>
    </row>
    <row r="124" spans="1:12" x14ac:dyDescent="0.25">
      <c r="A124" t="s">
        <v>41</v>
      </c>
      <c r="B124" t="s">
        <v>94</v>
      </c>
      <c r="C124" s="56">
        <v>874075</v>
      </c>
      <c r="D124" s="56">
        <v>0</v>
      </c>
      <c r="E124" s="56">
        <v>0</v>
      </c>
      <c r="F124" s="56">
        <v>0</v>
      </c>
      <c r="G124" s="56">
        <v>0</v>
      </c>
      <c r="H124" s="56">
        <v>0</v>
      </c>
      <c r="I124" s="56">
        <v>0</v>
      </c>
      <c r="J124" s="56">
        <v>0</v>
      </c>
      <c r="K124" s="56">
        <v>0</v>
      </c>
      <c r="L124" s="56">
        <v>874075</v>
      </c>
    </row>
    <row r="125" spans="1:12" x14ac:dyDescent="0.25">
      <c r="A125" t="s">
        <v>41</v>
      </c>
      <c r="B125" t="s">
        <v>95</v>
      </c>
      <c r="C125" s="56">
        <v>18295</v>
      </c>
      <c r="D125" s="56">
        <v>0</v>
      </c>
      <c r="E125" s="56">
        <v>0</v>
      </c>
      <c r="F125" s="56">
        <v>0</v>
      </c>
      <c r="G125" s="56">
        <v>0</v>
      </c>
      <c r="H125" s="56">
        <v>0</v>
      </c>
      <c r="I125" s="56">
        <v>0</v>
      </c>
      <c r="J125" s="56">
        <v>0</v>
      </c>
      <c r="K125" s="56">
        <v>18295</v>
      </c>
      <c r="L125" s="56">
        <v>0</v>
      </c>
    </row>
    <row r="126" spans="1:12" x14ac:dyDescent="0.25">
      <c r="A126" t="s">
        <v>41</v>
      </c>
      <c r="B126" t="s">
        <v>277</v>
      </c>
      <c r="C126" s="56">
        <v>106034.36</v>
      </c>
      <c r="D126" s="56">
        <v>0</v>
      </c>
      <c r="E126" s="56">
        <v>0</v>
      </c>
      <c r="F126" s="56">
        <v>0</v>
      </c>
      <c r="G126" s="56">
        <v>0</v>
      </c>
      <c r="H126" s="56">
        <v>0</v>
      </c>
      <c r="I126" s="56">
        <v>0</v>
      </c>
      <c r="J126" s="56">
        <v>0</v>
      </c>
      <c r="K126" s="56">
        <v>0</v>
      </c>
      <c r="L126" s="56">
        <v>106034.36</v>
      </c>
    </row>
    <row r="127" spans="1:12" x14ac:dyDescent="0.25">
      <c r="A127" t="s">
        <v>41</v>
      </c>
      <c r="B127" t="s">
        <v>97</v>
      </c>
      <c r="C127" s="56">
        <v>840572</v>
      </c>
      <c r="D127" s="56">
        <v>0</v>
      </c>
      <c r="E127" s="56">
        <v>0</v>
      </c>
      <c r="F127" s="56">
        <v>0</v>
      </c>
      <c r="G127" s="56">
        <v>0</v>
      </c>
      <c r="H127" s="56">
        <v>0</v>
      </c>
      <c r="I127" s="56">
        <v>0</v>
      </c>
      <c r="J127" s="56">
        <v>0</v>
      </c>
      <c r="K127" s="56">
        <v>0</v>
      </c>
      <c r="L127" s="56">
        <v>840572</v>
      </c>
    </row>
    <row r="128" spans="1:12" x14ac:dyDescent="0.25">
      <c r="A128" t="s">
        <v>41</v>
      </c>
      <c r="B128" t="s">
        <v>143</v>
      </c>
      <c r="C128" s="56">
        <v>221525</v>
      </c>
      <c r="D128" s="56">
        <v>0</v>
      </c>
      <c r="E128" s="56">
        <v>0</v>
      </c>
      <c r="F128" s="56">
        <v>0</v>
      </c>
      <c r="G128" s="56">
        <v>0</v>
      </c>
      <c r="H128" s="56">
        <v>0</v>
      </c>
      <c r="I128" s="56">
        <v>0</v>
      </c>
      <c r="J128" s="56">
        <v>0</v>
      </c>
      <c r="K128" s="56">
        <v>0</v>
      </c>
      <c r="L128" s="56">
        <v>221525</v>
      </c>
    </row>
    <row r="129" spans="1:12" x14ac:dyDescent="0.25">
      <c r="A129" t="s">
        <v>41</v>
      </c>
      <c r="B129" t="s">
        <v>144</v>
      </c>
      <c r="C129" s="56">
        <v>39921.339999999997</v>
      </c>
      <c r="D129" s="56">
        <v>0</v>
      </c>
      <c r="E129" s="56">
        <v>0</v>
      </c>
      <c r="F129" s="56">
        <v>0</v>
      </c>
      <c r="G129" s="56">
        <v>0</v>
      </c>
      <c r="H129" s="56">
        <v>0</v>
      </c>
      <c r="I129" s="56">
        <v>0</v>
      </c>
      <c r="J129" s="56">
        <v>11250</v>
      </c>
      <c r="K129" s="56">
        <v>0</v>
      </c>
      <c r="L129" s="56">
        <v>28671.34</v>
      </c>
    </row>
    <row r="130" spans="1:12" x14ac:dyDescent="0.25">
      <c r="A130" t="s">
        <v>41</v>
      </c>
      <c r="B130" t="s">
        <v>98</v>
      </c>
      <c r="C130" s="56">
        <v>105900</v>
      </c>
      <c r="D130" s="56">
        <v>0</v>
      </c>
      <c r="E130" s="56">
        <v>0</v>
      </c>
      <c r="F130" s="56">
        <v>0</v>
      </c>
      <c r="G130" s="56">
        <v>0</v>
      </c>
      <c r="H130" s="56">
        <v>0</v>
      </c>
      <c r="I130" s="56">
        <v>0</v>
      </c>
      <c r="J130" s="56">
        <v>0</v>
      </c>
      <c r="K130" s="56">
        <v>0</v>
      </c>
      <c r="L130" s="56">
        <v>105900</v>
      </c>
    </row>
    <row r="131" spans="1:12" x14ac:dyDescent="0.25">
      <c r="A131" t="s">
        <v>41</v>
      </c>
      <c r="B131" t="s">
        <v>145</v>
      </c>
      <c r="C131" s="56">
        <v>1679384</v>
      </c>
      <c r="D131" s="56">
        <v>0</v>
      </c>
      <c r="E131" s="56">
        <v>0</v>
      </c>
      <c r="F131" s="56">
        <v>0</v>
      </c>
      <c r="G131" s="56">
        <v>0</v>
      </c>
      <c r="H131" s="56">
        <v>0</v>
      </c>
      <c r="I131" s="56">
        <v>0</v>
      </c>
      <c r="J131" s="56">
        <v>0</v>
      </c>
      <c r="K131" s="56">
        <v>0</v>
      </c>
      <c r="L131" s="56">
        <v>1679384</v>
      </c>
    </row>
    <row r="132" spans="1:12" x14ac:dyDescent="0.25">
      <c r="A132" t="s">
        <v>41</v>
      </c>
      <c r="B132" t="s">
        <v>99</v>
      </c>
      <c r="C132" s="56">
        <v>823063</v>
      </c>
      <c r="D132" s="56">
        <v>0</v>
      </c>
      <c r="E132" s="56">
        <v>0</v>
      </c>
      <c r="F132" s="56">
        <v>0</v>
      </c>
      <c r="G132" s="56">
        <v>0</v>
      </c>
      <c r="H132" s="56">
        <v>0</v>
      </c>
      <c r="I132" s="56">
        <v>0</v>
      </c>
      <c r="J132" s="56">
        <v>0</v>
      </c>
      <c r="K132" s="56">
        <v>0</v>
      </c>
      <c r="L132" s="56">
        <v>823063</v>
      </c>
    </row>
    <row r="133" spans="1:12" x14ac:dyDescent="0.25">
      <c r="A133" t="s">
        <v>41</v>
      </c>
      <c r="B133" t="s">
        <v>100</v>
      </c>
      <c r="C133" s="56">
        <v>786840</v>
      </c>
      <c r="D133" s="56">
        <v>0</v>
      </c>
      <c r="E133" s="56">
        <v>0</v>
      </c>
      <c r="F133" s="56">
        <v>0</v>
      </c>
      <c r="G133" s="56">
        <v>0</v>
      </c>
      <c r="H133" s="56">
        <v>0</v>
      </c>
      <c r="I133" s="56">
        <v>0</v>
      </c>
      <c r="J133" s="56">
        <v>0</v>
      </c>
      <c r="K133" s="56">
        <v>0</v>
      </c>
      <c r="L133" s="56">
        <v>786840</v>
      </c>
    </row>
    <row r="134" spans="1:12" x14ac:dyDescent="0.25">
      <c r="A134" t="s">
        <v>41</v>
      </c>
      <c r="B134" t="s">
        <v>101</v>
      </c>
      <c r="C134" s="56">
        <v>34169.68</v>
      </c>
      <c r="D134" s="56">
        <v>0</v>
      </c>
      <c r="E134" s="56">
        <v>0</v>
      </c>
      <c r="F134" s="56">
        <v>0</v>
      </c>
      <c r="G134" s="56">
        <v>0</v>
      </c>
      <c r="H134" s="56">
        <v>0</v>
      </c>
      <c r="I134" s="56">
        <v>0</v>
      </c>
      <c r="J134" s="56">
        <v>0</v>
      </c>
      <c r="K134" s="56">
        <v>0</v>
      </c>
      <c r="L134" s="56">
        <v>34169.68</v>
      </c>
    </row>
    <row r="135" spans="1:12" x14ac:dyDescent="0.25">
      <c r="A135" t="s">
        <v>41</v>
      </c>
      <c r="B135" t="s">
        <v>102</v>
      </c>
      <c r="C135" s="56">
        <v>92625</v>
      </c>
      <c r="D135" s="56">
        <v>0</v>
      </c>
      <c r="E135" s="56">
        <v>0</v>
      </c>
      <c r="F135" s="56">
        <v>0</v>
      </c>
      <c r="G135" s="56">
        <v>0</v>
      </c>
      <c r="H135" s="56">
        <v>0</v>
      </c>
      <c r="I135" s="56">
        <v>0</v>
      </c>
      <c r="J135" s="56">
        <v>0</v>
      </c>
      <c r="K135" s="56">
        <v>0</v>
      </c>
      <c r="L135" s="56">
        <v>92625</v>
      </c>
    </row>
    <row r="136" spans="1:12" x14ac:dyDescent="0.25">
      <c r="A136" t="s">
        <v>41</v>
      </c>
      <c r="B136" t="s">
        <v>103</v>
      </c>
      <c r="C136" s="56">
        <v>814865</v>
      </c>
      <c r="D136" s="56">
        <v>0</v>
      </c>
      <c r="E136" s="56">
        <v>0</v>
      </c>
      <c r="F136" s="56">
        <v>0</v>
      </c>
      <c r="G136" s="56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814865</v>
      </c>
    </row>
    <row r="137" spans="1:12" x14ac:dyDescent="0.25">
      <c r="A137" t="s">
        <v>41</v>
      </c>
      <c r="B137" t="s">
        <v>131</v>
      </c>
      <c r="C137" s="56">
        <v>271000</v>
      </c>
      <c r="D137" s="56">
        <v>0</v>
      </c>
      <c r="E137" s="56">
        <v>0</v>
      </c>
      <c r="F137" s="56">
        <v>0</v>
      </c>
      <c r="G137" s="56">
        <v>0</v>
      </c>
      <c r="H137" s="56">
        <v>0</v>
      </c>
      <c r="I137" s="56">
        <v>0</v>
      </c>
      <c r="J137" s="56">
        <v>0</v>
      </c>
      <c r="K137" s="56">
        <v>0</v>
      </c>
      <c r="L137" s="56">
        <v>271000</v>
      </c>
    </row>
    <row r="138" spans="1:12" x14ac:dyDescent="0.25">
      <c r="A138" t="s">
        <v>41</v>
      </c>
      <c r="B138" t="s">
        <v>104</v>
      </c>
      <c r="C138" s="56">
        <v>66000</v>
      </c>
      <c r="D138" s="56">
        <v>0</v>
      </c>
      <c r="E138" s="56">
        <v>0</v>
      </c>
      <c r="F138" s="56">
        <v>0</v>
      </c>
      <c r="G138" s="56">
        <v>0</v>
      </c>
      <c r="H138" s="56">
        <v>0</v>
      </c>
      <c r="I138" s="56">
        <v>63900</v>
      </c>
      <c r="J138" s="56">
        <v>2100</v>
      </c>
      <c r="K138" s="56">
        <v>0</v>
      </c>
      <c r="L138" s="56">
        <v>0</v>
      </c>
    </row>
    <row r="139" spans="1:12" x14ac:dyDescent="0.25">
      <c r="A139" t="s">
        <v>41</v>
      </c>
      <c r="B139" t="s">
        <v>105</v>
      </c>
      <c r="C139" s="56">
        <v>12375</v>
      </c>
      <c r="D139" s="56">
        <v>0</v>
      </c>
      <c r="E139" s="56">
        <v>0</v>
      </c>
      <c r="F139" s="56">
        <v>0</v>
      </c>
      <c r="G139" s="56">
        <v>0</v>
      </c>
      <c r="H139" s="56">
        <v>0</v>
      </c>
      <c r="I139" s="56">
        <v>0</v>
      </c>
      <c r="J139" s="56">
        <v>0</v>
      </c>
      <c r="K139" s="56">
        <v>12375</v>
      </c>
      <c r="L139" s="56">
        <v>0</v>
      </c>
    </row>
    <row r="140" spans="1:12" x14ac:dyDescent="0.25">
      <c r="A140" t="s">
        <v>41</v>
      </c>
      <c r="B140" t="s">
        <v>106</v>
      </c>
      <c r="C140" s="56">
        <v>8462755</v>
      </c>
      <c r="D140" s="56">
        <v>0</v>
      </c>
      <c r="E140" s="56">
        <v>0</v>
      </c>
      <c r="F140" s="56">
        <v>0</v>
      </c>
      <c r="G140" s="56">
        <v>0</v>
      </c>
      <c r="H140" s="56">
        <v>0</v>
      </c>
      <c r="I140" s="56">
        <v>0</v>
      </c>
      <c r="J140" s="56">
        <v>0</v>
      </c>
      <c r="K140" s="56">
        <v>1</v>
      </c>
      <c r="L140" s="56">
        <v>8462754</v>
      </c>
    </row>
    <row r="141" spans="1:12" x14ac:dyDescent="0.25">
      <c r="A141" t="s">
        <v>41</v>
      </c>
      <c r="B141" t="s">
        <v>106</v>
      </c>
      <c r="C141" s="56">
        <v>6510</v>
      </c>
      <c r="D141" s="56">
        <v>0</v>
      </c>
      <c r="E141" s="56">
        <v>0</v>
      </c>
      <c r="F141" s="56">
        <v>0</v>
      </c>
      <c r="G141" s="56">
        <v>0</v>
      </c>
      <c r="H141" s="56">
        <v>0</v>
      </c>
      <c r="I141" s="56">
        <v>0</v>
      </c>
      <c r="J141" s="56">
        <v>0</v>
      </c>
      <c r="K141" s="56">
        <v>0</v>
      </c>
      <c r="L141" s="56">
        <v>6510</v>
      </c>
    </row>
    <row r="142" spans="1:12" x14ac:dyDescent="0.25">
      <c r="A142" t="s">
        <v>41</v>
      </c>
      <c r="B142" t="s">
        <v>107</v>
      </c>
      <c r="C142" s="56">
        <v>1366469</v>
      </c>
      <c r="D142" s="56">
        <v>0</v>
      </c>
      <c r="E142" s="56">
        <v>0</v>
      </c>
      <c r="F142" s="56">
        <v>0</v>
      </c>
      <c r="G142" s="56">
        <v>0</v>
      </c>
      <c r="H142" s="56">
        <v>0</v>
      </c>
      <c r="I142" s="56">
        <v>0</v>
      </c>
      <c r="J142" s="56">
        <v>0</v>
      </c>
      <c r="K142" s="56">
        <v>0</v>
      </c>
      <c r="L142" s="56">
        <v>1366469</v>
      </c>
    </row>
    <row r="143" spans="1:12" x14ac:dyDescent="0.25">
      <c r="A143" t="s">
        <v>41</v>
      </c>
      <c r="B143" t="s">
        <v>146</v>
      </c>
      <c r="C143" s="56">
        <v>25950</v>
      </c>
      <c r="D143" s="56">
        <v>0</v>
      </c>
      <c r="E143" s="56">
        <v>0</v>
      </c>
      <c r="F143" s="56">
        <v>0</v>
      </c>
      <c r="G143" s="56">
        <v>0</v>
      </c>
      <c r="H143" s="56">
        <v>0</v>
      </c>
      <c r="I143" s="56">
        <v>0</v>
      </c>
      <c r="J143" s="56">
        <v>0</v>
      </c>
      <c r="K143" s="56">
        <v>0</v>
      </c>
      <c r="L143" s="56">
        <v>25950</v>
      </c>
    </row>
    <row r="144" spans="1:12" x14ac:dyDescent="0.25">
      <c r="A144" t="s">
        <v>41</v>
      </c>
      <c r="B144" t="s">
        <v>146</v>
      </c>
      <c r="C144" s="56">
        <v>34900</v>
      </c>
      <c r="D144" s="56">
        <v>0</v>
      </c>
      <c r="E144" s="56">
        <v>0</v>
      </c>
      <c r="F144" s="56">
        <v>0</v>
      </c>
      <c r="G144" s="56">
        <v>0</v>
      </c>
      <c r="H144" s="56">
        <v>0</v>
      </c>
      <c r="I144" s="56">
        <v>0</v>
      </c>
      <c r="J144" s="56">
        <v>0</v>
      </c>
      <c r="K144" s="56">
        <v>4730</v>
      </c>
      <c r="L144" s="56">
        <v>30170</v>
      </c>
    </row>
    <row r="145" spans="1:12" x14ac:dyDescent="0.25">
      <c r="A145" t="s">
        <v>41</v>
      </c>
      <c r="B145" t="s">
        <v>108</v>
      </c>
      <c r="C145" s="56">
        <v>30300</v>
      </c>
      <c r="D145" s="56">
        <v>0</v>
      </c>
      <c r="E145" s="56">
        <v>0</v>
      </c>
      <c r="F145" s="56">
        <v>0</v>
      </c>
      <c r="G145" s="56">
        <v>0</v>
      </c>
      <c r="H145" s="56">
        <v>0</v>
      </c>
      <c r="I145" s="56">
        <v>0</v>
      </c>
      <c r="J145" s="56">
        <v>0</v>
      </c>
      <c r="K145" s="56">
        <v>0</v>
      </c>
      <c r="L145" s="56">
        <v>30300</v>
      </c>
    </row>
    <row r="146" spans="1:12" x14ac:dyDescent="0.25">
      <c r="A146" t="s">
        <v>41</v>
      </c>
      <c r="B146" t="s">
        <v>109</v>
      </c>
      <c r="C146" s="56">
        <v>10495</v>
      </c>
      <c r="D146" s="56">
        <v>0</v>
      </c>
      <c r="E146" s="56">
        <v>0</v>
      </c>
      <c r="F146" s="56">
        <v>0</v>
      </c>
      <c r="G146" s="56">
        <v>0</v>
      </c>
      <c r="H146" s="56">
        <v>0</v>
      </c>
      <c r="I146" s="56">
        <v>0</v>
      </c>
      <c r="J146" s="56">
        <v>2580</v>
      </c>
      <c r="K146" s="56">
        <v>7915</v>
      </c>
      <c r="L146" s="56">
        <v>0</v>
      </c>
    </row>
    <row r="147" spans="1:12" x14ac:dyDescent="0.25">
      <c r="A147" t="s">
        <v>41</v>
      </c>
      <c r="B147" t="s">
        <v>110</v>
      </c>
      <c r="C147" s="56">
        <v>91772</v>
      </c>
      <c r="D147" s="56">
        <v>0</v>
      </c>
      <c r="E147" s="56">
        <v>0</v>
      </c>
      <c r="F147" s="56">
        <v>0</v>
      </c>
      <c r="G147" s="56">
        <v>0</v>
      </c>
      <c r="H147" s="56">
        <v>0</v>
      </c>
      <c r="I147" s="56">
        <v>0</v>
      </c>
      <c r="J147" s="56">
        <v>0</v>
      </c>
      <c r="K147" s="56">
        <v>272</v>
      </c>
      <c r="L147" s="56">
        <v>91500</v>
      </c>
    </row>
    <row r="148" spans="1:12" x14ac:dyDescent="0.25">
      <c r="A148" t="s">
        <v>41</v>
      </c>
      <c r="B148" t="s">
        <v>110</v>
      </c>
      <c r="C148" s="56">
        <v>349514</v>
      </c>
      <c r="D148" s="56">
        <v>0</v>
      </c>
      <c r="E148" s="56">
        <v>0</v>
      </c>
      <c r="F148" s="56">
        <v>0</v>
      </c>
      <c r="G148" s="56">
        <v>0</v>
      </c>
      <c r="H148" s="56">
        <v>0</v>
      </c>
      <c r="I148" s="56">
        <v>0</v>
      </c>
      <c r="J148" s="56">
        <v>0</v>
      </c>
      <c r="K148" s="56">
        <v>349514</v>
      </c>
      <c r="L148" s="56">
        <v>0</v>
      </c>
    </row>
    <row r="149" spans="1:12" x14ac:dyDescent="0.25">
      <c r="A149" t="s">
        <v>41</v>
      </c>
      <c r="B149" t="s">
        <v>201</v>
      </c>
      <c r="C149" s="56">
        <v>1300</v>
      </c>
      <c r="D149" s="56">
        <v>0</v>
      </c>
      <c r="E149" s="56">
        <v>0</v>
      </c>
      <c r="F149" s="56">
        <v>0</v>
      </c>
      <c r="G149" s="56">
        <v>0</v>
      </c>
      <c r="H149" s="56">
        <v>0</v>
      </c>
      <c r="I149" s="56">
        <v>0</v>
      </c>
      <c r="J149" s="56">
        <v>0</v>
      </c>
      <c r="K149" s="56">
        <v>1300</v>
      </c>
      <c r="L149" s="56">
        <v>0</v>
      </c>
    </row>
    <row r="150" spans="1:12" x14ac:dyDescent="0.25">
      <c r="A150" t="s">
        <v>41</v>
      </c>
      <c r="B150" t="s">
        <v>111</v>
      </c>
      <c r="C150" s="56">
        <v>2320224</v>
      </c>
      <c r="D150" s="56">
        <v>0</v>
      </c>
      <c r="E150" s="56">
        <v>0</v>
      </c>
      <c r="F150" s="56">
        <v>0</v>
      </c>
      <c r="G150" s="56">
        <v>0</v>
      </c>
      <c r="H150" s="56">
        <v>0</v>
      </c>
      <c r="I150" s="56">
        <v>0</v>
      </c>
      <c r="J150" s="56">
        <v>0</v>
      </c>
      <c r="K150" s="56">
        <v>0</v>
      </c>
      <c r="L150" s="56">
        <v>2320224</v>
      </c>
    </row>
    <row r="151" spans="1:12" x14ac:dyDescent="0.25">
      <c r="A151" t="s">
        <v>41</v>
      </c>
      <c r="B151" t="s">
        <v>112</v>
      </c>
      <c r="C151" s="56">
        <v>140880</v>
      </c>
      <c r="D151" s="56">
        <v>0</v>
      </c>
      <c r="E151" s="56">
        <v>0</v>
      </c>
      <c r="F151" s="56">
        <v>0</v>
      </c>
      <c r="G151" s="56">
        <v>0</v>
      </c>
      <c r="H151" s="56">
        <v>0</v>
      </c>
      <c r="I151" s="56">
        <v>0</v>
      </c>
      <c r="J151" s="56">
        <v>0</v>
      </c>
      <c r="K151" s="56">
        <v>0</v>
      </c>
      <c r="L151" s="56">
        <v>140880</v>
      </c>
    </row>
    <row r="152" spans="1:12" x14ac:dyDescent="0.25">
      <c r="A152" t="s">
        <v>41</v>
      </c>
      <c r="B152" t="s">
        <v>113</v>
      </c>
      <c r="C152" s="56">
        <v>1550</v>
      </c>
      <c r="D152" s="56">
        <v>0</v>
      </c>
      <c r="E152" s="56">
        <v>0</v>
      </c>
      <c r="F152" s="56">
        <v>0</v>
      </c>
      <c r="G152" s="56">
        <v>0</v>
      </c>
      <c r="H152" s="56">
        <v>0</v>
      </c>
      <c r="I152" s="56">
        <v>0</v>
      </c>
      <c r="J152" s="56">
        <v>0</v>
      </c>
      <c r="K152" s="56">
        <v>1550</v>
      </c>
      <c r="L152" s="56">
        <v>0</v>
      </c>
    </row>
    <row r="153" spans="1:12" x14ac:dyDescent="0.25">
      <c r="B153" s="55" t="s">
        <v>311</v>
      </c>
      <c r="C153" s="56">
        <f>SUBTOTAL(109,Table12[Pending Bills])</f>
        <v>48756389.350000001</v>
      </c>
      <c r="D153" s="56">
        <f>SUBTOTAL(109,Table12[(&lt; 15 days )])</f>
        <v>0</v>
      </c>
      <c r="E153" s="56">
        <f>SUBTOTAL(109,Table12[15 to 30 days])</f>
        <v>0</v>
      </c>
      <c r="F153" s="56">
        <f>SUBTOTAL(109,Table12[30 to 45 days])</f>
        <v>0</v>
      </c>
      <c r="G153" s="56">
        <f>SUBTOTAL(109,Table12[45 to 60 days])</f>
        <v>0</v>
      </c>
      <c r="H153" s="56">
        <f>SUBTOTAL(109,Table12[60 to 90 days])</f>
        <v>0</v>
      </c>
      <c r="I153" s="56">
        <f>SUBTOTAL(109,Table12[90 to 180 days])</f>
        <v>297680</v>
      </c>
      <c r="J153" s="56">
        <f>SUBTOTAL(109,Table12[180 to 365 days])</f>
        <v>1078159</v>
      </c>
      <c r="K153" s="56">
        <f>SUBTOTAL(109,Table12[365 to 730 days])</f>
        <v>1621800.25</v>
      </c>
      <c r="L153" s="56">
        <f>SUBTOTAL(109,Table12[(&gt; 730 days )])</f>
        <v>45758750.100000001</v>
      </c>
    </row>
    <row r="155" spans="1:12" x14ac:dyDescent="0.25">
      <c r="A155" t="s">
        <v>122</v>
      </c>
      <c r="B155" t="s">
        <v>297</v>
      </c>
      <c r="C155" t="s">
        <v>0</v>
      </c>
      <c r="D155" t="s">
        <v>1</v>
      </c>
      <c r="E155" t="s">
        <v>2</v>
      </c>
      <c r="F155" t="s">
        <v>3</v>
      </c>
      <c r="G155" t="s">
        <v>4</v>
      </c>
      <c r="H155" t="s">
        <v>5</v>
      </c>
      <c r="I155" t="s">
        <v>6</v>
      </c>
      <c r="J155" t="s">
        <v>7</v>
      </c>
      <c r="K155" t="s">
        <v>8</v>
      </c>
      <c r="L155" t="s">
        <v>9</v>
      </c>
    </row>
    <row r="156" spans="1:12" x14ac:dyDescent="0.25">
      <c r="A156" t="s">
        <v>147</v>
      </c>
      <c r="B156" t="s">
        <v>148</v>
      </c>
      <c r="C156">
        <v>95</v>
      </c>
      <c r="D156">
        <v>95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 x14ac:dyDescent="0.25">
      <c r="A157" s="12"/>
      <c r="B157" s="55" t="s">
        <v>311</v>
      </c>
      <c r="C157" s="57">
        <f>SUBTOTAL(109,Table13[Pending Bills])</f>
        <v>95</v>
      </c>
      <c r="D157" s="57">
        <f>SUBTOTAL(109,Table13[(&lt; 15 days )])</f>
        <v>95</v>
      </c>
      <c r="E157" s="57">
        <f>SUBTOTAL(109,Table13[15 to 30 days])</f>
        <v>0</v>
      </c>
      <c r="F157" s="57">
        <f>SUBTOTAL(109,Table13[30 to 45 days])</f>
        <v>0</v>
      </c>
      <c r="G157" s="57">
        <f>SUBTOTAL(109,Table13[45 to 60 days])</f>
        <v>0</v>
      </c>
      <c r="H157" s="57">
        <f>SUBTOTAL(109,Table13[60 to 90 days])</f>
        <v>0</v>
      </c>
      <c r="I157" s="57">
        <f>SUBTOTAL(109,Table13[90 to 180 days])</f>
        <v>0</v>
      </c>
      <c r="J157" s="57">
        <f>SUBTOTAL(109,Table13[180 to 365 days])</f>
        <v>0</v>
      </c>
      <c r="K157" s="57">
        <f>SUBTOTAL(109,Table13[365 to 730 days])</f>
        <v>0</v>
      </c>
      <c r="L157" s="57">
        <f>SUBTOTAL(109,Table13[(&gt; 730 days )])</f>
        <v>0</v>
      </c>
    </row>
    <row r="159" spans="1:12" x14ac:dyDescent="0.25">
      <c r="B159" s="55" t="s">
        <v>121</v>
      </c>
      <c r="C159" s="58">
        <f>+Table13[[#Totals],[Pending Bills]]+Table12[[#Totals],[Pending Bills]]+Table11[[#Totals],[Pending Bills]]</f>
        <v>65014006.710000001</v>
      </c>
      <c r="D159" s="58">
        <f>+Table13[[#Totals],[(&lt; 15 days )]]+Table12[[#Totals],[(&lt; 15 days )]]+Table11[[#Totals],[(&lt; 15 days )]]</f>
        <v>1616668</v>
      </c>
      <c r="E159" s="58">
        <f>+Table13[[#Totals],[15 to 30 days]]+Table12[[#Totals],[15 to 30 days]]+Table11[[#Totals],[15 to 30 days]]</f>
        <v>2811956</v>
      </c>
      <c r="F159" s="58">
        <f>+Table13[[#Totals],[30 to 45 days]]+Table12[[#Totals],[30 to 45 days]]+Table11[[#Totals],[30 to 45 days]]</f>
        <v>2308600</v>
      </c>
      <c r="G159" s="58">
        <f>+Table13[[#Totals],[45 to 60 days]]+Table12[[#Totals],[45 to 60 days]]+Table11[[#Totals],[45 to 60 days]]</f>
        <v>1472565</v>
      </c>
      <c r="H159" s="58">
        <f>+Table13[[#Totals],[60 to 90 days]]+Table12[[#Totals],[60 to 90 days]]+Table11[[#Totals],[60 to 90 days]]</f>
        <v>3198507</v>
      </c>
      <c r="I159" s="58">
        <f>+Table13[[#Totals],[90 to 180 days]]+Table12[[#Totals],[90 to 180 days]]+Table11[[#Totals],[90 to 180 days]]</f>
        <v>3731072.84</v>
      </c>
      <c r="J159" s="58">
        <f>+Table13[[#Totals],[180 to 365 days]]+Table12[[#Totals],[180 to 365 days]]+Table11[[#Totals],[180 to 365 days]]</f>
        <v>2457532.52</v>
      </c>
      <c r="K159" s="58">
        <f>+Table13[[#Totals],[365 to 730 days]]+Table12[[#Totals],[365 to 730 days]]+Table11[[#Totals],[365 to 730 days]]</f>
        <v>1624400.25</v>
      </c>
      <c r="L159" s="58">
        <f>+Table13[[#Totals],[(&gt; 730 days )]]+Table12[[#Totals],[(&gt; 730 days )]]+Table11[[#Totals],[(&gt; 730 days )]]</f>
        <v>45792705.100000001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KA</vt:lpstr>
      <vt:lpstr>TN</vt:lpstr>
      <vt:lpstr>TS</vt:lpstr>
      <vt:lpstr>VJD</vt:lpstr>
      <vt:lpstr>Summary</vt:lpstr>
      <vt:lpstr>Bal Conf</vt:lpstr>
      <vt:lpstr>Consolidated</vt:lpstr>
      <vt:lpstr>SD with Cr bal</vt:lpstr>
      <vt:lpstr>Dileep &amp; Team</vt:lpstr>
      <vt:lpstr>Ashok &amp; Team</vt:lpstr>
      <vt:lpstr>G Chandrashekar </vt:lpstr>
      <vt:lpstr>Gouse</vt:lpstr>
      <vt:lpstr>Lavanyakumar</vt:lpstr>
      <vt:lpstr>Ranjith G S</vt:lpstr>
      <vt:lpstr>Mahendra Rao</vt:lpstr>
      <vt:lpstr>M Prabhakar Rao</vt:lpstr>
      <vt:lpstr>Raghavendra P</vt:lpstr>
      <vt:lpstr>Ravibabu</vt:lpstr>
      <vt:lpstr>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Siraj Kaladagi</cp:lastModifiedBy>
  <cp:lastPrinted>2026-08-24T09:53:09Z</cp:lastPrinted>
  <dcterms:created xsi:type="dcterms:W3CDTF">2026-08-06T10:22:04Z</dcterms:created>
  <dcterms:modified xsi:type="dcterms:W3CDTF">2026-08-24T11:00:45Z</dcterms:modified>
</cp:coreProperties>
</file>